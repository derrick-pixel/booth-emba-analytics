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errickteo/Downloads/"/>
    </mc:Choice>
  </mc:AlternateContent>
  <xr:revisionPtr revIDLastSave="0" documentId="13_ncr:1_{86FA3F3B-82AE-C448-87E7-4E9B871007AF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Instructions" sheetId="1" r:id="rId1"/>
    <sheet name="C-D Model" sheetId="2" r:id="rId2"/>
    <sheet name="Initial Parameters" sheetId="3" r:id="rId3"/>
    <sheet name="Contribution Margin Table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Bangladesh_Taxes">'[1]General Assumptions'!$B$8</definedName>
    <definedName name="Business_Manager">'[1](BD) Staff'!$D$5</definedName>
    <definedName name="ConfSwitch">[2]Assumptions!$C$8</definedName>
    <definedName name="Conveyance_Allowance">'[1](BD) Staff'!$D$12</definedName>
    <definedName name="costs_per_show">'[1](US) S&amp;M Karima'!$B$58</definedName>
    <definedName name="Day_Care_Manager">'[1](BD) Staff'!$D$7</definedName>
    <definedName name="Design_Manager">'[1](BD) Staff'!$D$8</definedName>
    <definedName name="Festival_Bonus">'[1](BD) Staff'!$D$14</definedName>
    <definedName name="Hours_per_Worker_per_Week">'[3]Wage Workers'!$B$7</definedName>
    <definedName name="Housing_Allowance">'[1](BD) Staff'!$D$10</definedName>
    <definedName name="Housing_Allowance_per_Month">[3]Staff!$C$9</definedName>
    <definedName name="HTML_CodePage">1252</definedName>
    <definedName name="HTML_Control">{"'Sheet1'!$A$1:$G$85"}</definedName>
    <definedName name="HTML_Description">""</definedName>
    <definedName name="HTML_Email">""</definedName>
    <definedName name="HTML_Header">"Sheet1"</definedName>
    <definedName name="HTML_LastUpdate">"2/24/99"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Mac">"Macintosh HD:HomePageStuff:New_Home_Page:datafile:histret.html"</definedName>
    <definedName name="HTML_Title">"Historical Returns on Stocks, Bonds and Bills"</definedName>
    <definedName name="HTML1_1">"[ReturnsHistorical]Sheet1!$A$1:$D$77"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">"[histret.xls]Sheet1!$A$1:$G$85"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Count">2</definedName>
    <definedName name="Medical_Cost">'[1](BD) Staff'!$D$13</definedName>
    <definedName name="Months_per_Year">[4]Assumptions!$CB$3</definedName>
    <definedName name="Production_Manager">'[1](BD) Staff'!$D$6</definedName>
    <definedName name="ProjName">'[5]Control Panel'!$D$7</definedName>
    <definedName name="Retirement_Allowance">'[1](BD) Staff'!$D$11</definedName>
    <definedName name="sale_per_show">'[1](US) S&amp;M Karima'!$B$60</definedName>
    <definedName name="solver_cvg" localSheetId="1">0.0001</definedName>
    <definedName name="solver_drv" localSheetId="1">1</definedName>
    <definedName name="solver_eng" localSheetId="1">1</definedName>
    <definedName name="solver_est" localSheetId="1">1</definedName>
    <definedName name="solver_itr" localSheetId="1">2147483647</definedName>
    <definedName name="solver_lhs1" localSheetId="1">'C-D Model'!$C$4</definedName>
    <definedName name="solver_lhs10" localSheetId="1">#REF!</definedName>
    <definedName name="solver_lhs11" localSheetId="1">#REF!</definedName>
    <definedName name="solver_lhs12" localSheetId="1">#REF!</definedName>
    <definedName name="solver_lhs2" localSheetId="1">'C-D Model'!$C$4</definedName>
    <definedName name="solver_lhs3" localSheetId="1">'C-D Model'!#REF!</definedName>
    <definedName name="solver_lhs4" localSheetId="1">'C-D Model'!#REF!</definedName>
    <definedName name="solver_lhs5" localSheetId="1">'C-D Model'!$C$5</definedName>
    <definedName name="solver_lhs6" localSheetId="1">'C-D Model'!$C$5</definedName>
    <definedName name="solver_lhs7" localSheetId="1">'C-D Model'!$C$5</definedName>
    <definedName name="solver_lhs8" localSheetId="1">'C-D Model'!$C$5</definedName>
    <definedName name="solver_lhs9" localSheetId="1">#REF!</definedName>
    <definedName name="solver_mip" localSheetId="1">2147483647</definedName>
    <definedName name="solver_mni" localSheetId="1">30</definedName>
    <definedName name="solver_mrt" localSheetId="1">0.075</definedName>
    <definedName name="solver_msl" localSheetId="1">1</definedName>
    <definedName name="solver_neg" localSheetId="1">1</definedName>
    <definedName name="solver_nod" localSheetId="1">2147483647</definedName>
    <definedName name="solver_num" localSheetId="1">0</definedName>
    <definedName name="solver_nwt" localSheetId="1">1</definedName>
    <definedName name="solver_pre" localSheetId="1">0.000001</definedName>
    <definedName name="solver_rbv" localSheetId="1">1</definedName>
    <definedName name="solver_rel1" localSheetId="1">1</definedName>
    <definedName name="solver_rel10" localSheetId="1">2</definedName>
    <definedName name="solver_rel11" localSheetId="1">2</definedName>
    <definedName name="solver_rel12" localSheetId="1">2</definedName>
    <definedName name="solver_rel2" localSheetId="1">3</definedName>
    <definedName name="solver_rel3" localSheetId="1">1</definedName>
    <definedName name="solver_rel4" localSheetId="1">3</definedName>
    <definedName name="solver_rel5" localSheetId="1">2</definedName>
    <definedName name="solver_rel6" localSheetId="1">2</definedName>
    <definedName name="solver_rel7" localSheetId="1">2</definedName>
    <definedName name="solver_rel8" localSheetId="1">2</definedName>
    <definedName name="solver_rel9" localSheetId="1">2</definedName>
    <definedName name="solver_rhs1" localSheetId="1">100000</definedName>
    <definedName name="solver_rhs10" localSheetId="1">#REF!</definedName>
    <definedName name="solver_rhs11" localSheetId="1">#REF!</definedName>
    <definedName name="solver_rhs12" localSheetId="1">#REF!</definedName>
    <definedName name="solver_rhs2" localSheetId="1">1</definedName>
    <definedName name="solver_rhs3" localSheetId="1">100000000</definedName>
    <definedName name="solver_rhs4" localSheetId="1">1</definedName>
    <definedName name="solver_rhs5" localSheetId="1">'C-D Model'!$C$6</definedName>
    <definedName name="solver_rhs6" localSheetId="1">'C-D Model'!$C$6</definedName>
    <definedName name="solver_rhs7" localSheetId="1">'C-D Model'!$C$6</definedName>
    <definedName name="solver_rhs8" localSheetId="1">'C-D Model'!$C$6</definedName>
    <definedName name="solver_rhs9" localSheetId="1">#REF!</definedName>
    <definedName name="solver_rlx" localSheetId="1">2</definedName>
    <definedName name="solver_rsd" localSheetId="1">0</definedName>
    <definedName name="solver_scl" localSheetId="1">1</definedName>
    <definedName name="solver_sho" localSheetId="1">1</definedName>
    <definedName name="solver_ssz" localSheetId="1">100</definedName>
    <definedName name="solver_tim" localSheetId="1">2147483647</definedName>
    <definedName name="solver_tol" localSheetId="1">0.01</definedName>
    <definedName name="solver_typ" localSheetId="1">1</definedName>
    <definedName name="solver_val" localSheetId="1">0</definedName>
    <definedName name="solver_ver" localSheetId="1">3</definedName>
    <definedName name="Taka_per_Dollar">'[1]General Assumptions'!$B$5</definedName>
    <definedName name="Wage">'[1](BD) Workers'!$B$4</definedName>
    <definedName name="Weeks_per_Year">'[1]General Assumptions'!$B$7</definedName>
    <definedName name="Workers">'[1](BD) Workers'!$B$19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drOjLV5TBaUThHnrutnb/I/Pf+dR8iKHe7yaSpOdvx0="/>
    </ext>
  </extLst>
</workbook>
</file>

<file path=xl/calcChain.xml><?xml version="1.0" encoding="utf-8"?>
<calcChain xmlns="http://schemas.openxmlformats.org/spreadsheetml/2006/main">
  <c r="C5" i="4" l="1"/>
  <c r="B4" i="4"/>
  <c r="T66" i="2"/>
  <c r="K66" i="2"/>
  <c r="B66" i="2"/>
  <c r="T65" i="2"/>
  <c r="K65" i="2"/>
  <c r="B65" i="2"/>
  <c r="T64" i="2"/>
  <c r="K64" i="2"/>
  <c r="B64" i="2"/>
  <c r="T63" i="2"/>
  <c r="K63" i="2"/>
  <c r="B63" i="2"/>
  <c r="T62" i="2"/>
  <c r="K62" i="2"/>
  <c r="B62" i="2"/>
  <c r="T61" i="2"/>
  <c r="K61" i="2"/>
  <c r="B61" i="2"/>
  <c r="T60" i="2"/>
  <c r="K60" i="2"/>
  <c r="B60" i="2"/>
  <c r="T59" i="2"/>
  <c r="K59" i="2"/>
  <c r="B59" i="2"/>
  <c r="T58" i="2"/>
  <c r="K58" i="2"/>
  <c r="B58" i="2"/>
  <c r="T57" i="2"/>
  <c r="K57" i="2"/>
  <c r="B57" i="2"/>
  <c r="T56" i="2"/>
  <c r="K56" i="2"/>
  <c r="B56" i="2"/>
  <c r="T55" i="2"/>
  <c r="K55" i="2"/>
  <c r="B55" i="2"/>
  <c r="T54" i="2"/>
  <c r="K54" i="2"/>
  <c r="B54" i="2"/>
  <c r="T53" i="2"/>
  <c r="K53" i="2"/>
  <c r="B53" i="2"/>
  <c r="AA52" i="2"/>
  <c r="Z52" i="2"/>
  <c r="Y52" i="2"/>
  <c r="X52" i="2"/>
  <c r="W52" i="2"/>
  <c r="V52" i="2"/>
  <c r="U52" i="2"/>
  <c r="R52" i="2"/>
  <c r="Q52" i="2"/>
  <c r="P52" i="2"/>
  <c r="O52" i="2"/>
  <c r="N52" i="2"/>
  <c r="M52" i="2"/>
  <c r="L52" i="2"/>
  <c r="I52" i="2"/>
  <c r="H52" i="2"/>
  <c r="G52" i="2"/>
  <c r="F52" i="2"/>
  <c r="E52" i="2"/>
  <c r="D52" i="2"/>
  <c r="C52" i="2"/>
  <c r="T49" i="2"/>
  <c r="K49" i="2"/>
  <c r="B49" i="2"/>
  <c r="T48" i="2"/>
  <c r="K48" i="2"/>
  <c r="B48" i="2"/>
  <c r="T47" i="2"/>
  <c r="K47" i="2"/>
  <c r="B47" i="2"/>
  <c r="T46" i="2"/>
  <c r="K46" i="2"/>
  <c r="B46" i="2"/>
  <c r="T45" i="2"/>
  <c r="K45" i="2"/>
  <c r="B45" i="2"/>
  <c r="T44" i="2"/>
  <c r="K44" i="2"/>
  <c r="B44" i="2"/>
  <c r="T43" i="2"/>
  <c r="K43" i="2"/>
  <c r="B43" i="2"/>
  <c r="T42" i="2"/>
  <c r="K42" i="2"/>
  <c r="B42" i="2"/>
  <c r="T41" i="2"/>
  <c r="K41" i="2"/>
  <c r="B41" i="2"/>
  <c r="T40" i="2"/>
  <c r="K40" i="2"/>
  <c r="B40" i="2"/>
  <c r="T39" i="2"/>
  <c r="K39" i="2"/>
  <c r="B39" i="2"/>
  <c r="T38" i="2"/>
  <c r="K38" i="2"/>
  <c r="B38" i="2"/>
  <c r="T37" i="2"/>
  <c r="K37" i="2"/>
  <c r="B37" i="2"/>
  <c r="T36" i="2"/>
  <c r="K36" i="2"/>
  <c r="B36" i="2"/>
  <c r="AA35" i="2"/>
  <c r="Z35" i="2"/>
  <c r="Y35" i="2"/>
  <c r="X35" i="2"/>
  <c r="W35" i="2"/>
  <c r="V35" i="2"/>
  <c r="U35" i="2"/>
  <c r="R35" i="2"/>
  <c r="Q35" i="2"/>
  <c r="P35" i="2"/>
  <c r="O35" i="2"/>
  <c r="N35" i="2"/>
  <c r="M35" i="2"/>
  <c r="L35" i="2"/>
  <c r="I35" i="2"/>
  <c r="H35" i="2"/>
  <c r="G35" i="2"/>
  <c r="F35" i="2"/>
  <c r="E35" i="2"/>
  <c r="D35" i="2"/>
  <c r="C35" i="2"/>
  <c r="T32" i="2"/>
  <c r="K32" i="2"/>
  <c r="T31" i="2"/>
  <c r="K31" i="2"/>
  <c r="T30" i="2"/>
  <c r="K30" i="2"/>
  <c r="T29" i="2"/>
  <c r="K29" i="2"/>
  <c r="C29" i="2"/>
  <c r="T28" i="2"/>
  <c r="R28" i="2"/>
  <c r="Q28" i="2"/>
  <c r="K28" i="2"/>
  <c r="T27" i="2"/>
  <c r="K27" i="2"/>
  <c r="T26" i="2"/>
  <c r="K26" i="2"/>
  <c r="T25" i="2"/>
  <c r="K25" i="2"/>
  <c r="I25" i="2"/>
  <c r="H25" i="2"/>
  <c r="G25" i="2"/>
  <c r="F25" i="2"/>
  <c r="E25" i="2"/>
  <c r="D25" i="2"/>
  <c r="C25" i="2"/>
  <c r="T24" i="2"/>
  <c r="K24" i="2"/>
  <c r="I24" i="2"/>
  <c r="H24" i="2"/>
  <c r="G24" i="2"/>
  <c r="F24" i="2"/>
  <c r="E24" i="2"/>
  <c r="D24" i="2"/>
  <c r="C24" i="2"/>
  <c r="T23" i="2"/>
  <c r="K23" i="2"/>
  <c r="I23" i="2"/>
  <c r="H23" i="2"/>
  <c r="G23" i="2"/>
  <c r="F23" i="2"/>
  <c r="E23" i="2"/>
  <c r="D23" i="2"/>
  <c r="C23" i="2"/>
  <c r="T22" i="2"/>
  <c r="K22" i="2"/>
  <c r="I22" i="2"/>
  <c r="H22" i="2"/>
  <c r="G22" i="2"/>
  <c r="F22" i="2"/>
  <c r="E22" i="2"/>
  <c r="D22" i="2"/>
  <c r="C22" i="2"/>
  <c r="T21" i="2"/>
  <c r="K21" i="2"/>
  <c r="I21" i="2"/>
  <c r="H21" i="2"/>
  <c r="G21" i="2"/>
  <c r="F21" i="2"/>
  <c r="E21" i="2"/>
  <c r="D21" i="2"/>
  <c r="C21" i="2"/>
  <c r="T20" i="2"/>
  <c r="K20" i="2"/>
  <c r="I20" i="2"/>
  <c r="I37" i="2" s="1"/>
  <c r="I54" i="2" s="1"/>
  <c r="H20" i="2"/>
  <c r="H37" i="2" s="1"/>
  <c r="H54" i="2" s="1"/>
  <c r="G20" i="2"/>
  <c r="G37" i="2" s="1"/>
  <c r="G54" i="2" s="1"/>
  <c r="F20" i="2"/>
  <c r="F37" i="2" s="1"/>
  <c r="F54" i="2" s="1"/>
  <c r="E20" i="2"/>
  <c r="E37" i="2" s="1"/>
  <c r="E54" i="2" s="1"/>
  <c r="D20" i="2"/>
  <c r="C20" i="2"/>
  <c r="T19" i="2"/>
  <c r="K19" i="2"/>
  <c r="AA18" i="2"/>
  <c r="Z18" i="2"/>
  <c r="Y18" i="2"/>
  <c r="X18" i="2"/>
  <c r="W18" i="2"/>
  <c r="V18" i="2"/>
  <c r="U18" i="2"/>
  <c r="R18" i="2"/>
  <c r="Q18" i="2"/>
  <c r="P18" i="2"/>
  <c r="O18" i="2"/>
  <c r="N18" i="2"/>
  <c r="M18" i="2"/>
  <c r="L18" i="2"/>
  <c r="D7" i="2"/>
  <c r="B9" i="4" l="1"/>
  <c r="G38" i="2"/>
  <c r="G55" i="2" s="1"/>
  <c r="E38" i="2"/>
  <c r="E55" i="2" s="1"/>
  <c r="F38" i="2"/>
  <c r="F55" i="2" s="1"/>
  <c r="D38" i="2"/>
  <c r="D55" i="2" s="1"/>
  <c r="C38" i="2"/>
  <c r="C55" i="2" s="1"/>
  <c r="H38" i="2"/>
  <c r="H55" i="2" s="1"/>
  <c r="I38" i="2"/>
  <c r="I55" i="2" s="1"/>
  <c r="R45" i="2"/>
  <c r="R62" i="2" s="1"/>
  <c r="Q45" i="2"/>
  <c r="Q62" i="2" s="1"/>
  <c r="I40" i="2"/>
  <c r="I57" i="2" s="1"/>
  <c r="I42" i="2"/>
  <c r="I59" i="2" s="1"/>
  <c r="I39" i="2"/>
  <c r="I56" i="2" s="1"/>
  <c r="I41" i="2"/>
  <c r="I58" i="2" s="1"/>
  <c r="H41" i="2"/>
  <c r="H58" i="2" s="1"/>
  <c r="H39" i="2"/>
  <c r="H56" i="2" s="1"/>
  <c r="H40" i="2"/>
  <c r="H57" i="2" s="1"/>
  <c r="H42" i="2"/>
  <c r="H59" i="2" s="1"/>
  <c r="G41" i="2"/>
  <c r="G58" i="2" s="1"/>
  <c r="G40" i="2"/>
  <c r="G57" i="2" s="1"/>
  <c r="G39" i="2"/>
  <c r="G56" i="2" s="1"/>
  <c r="G42" i="2"/>
  <c r="G59" i="2" s="1"/>
  <c r="F39" i="2"/>
  <c r="F56" i="2" s="1"/>
  <c r="F42" i="2"/>
  <c r="F59" i="2" s="1"/>
  <c r="F41" i="2"/>
  <c r="F58" i="2" s="1"/>
  <c r="F40" i="2"/>
  <c r="F57" i="2" s="1"/>
  <c r="E40" i="2"/>
  <c r="E57" i="2" s="1"/>
  <c r="E42" i="2"/>
  <c r="E59" i="2" s="1"/>
  <c r="E41" i="2"/>
  <c r="E58" i="2" s="1"/>
  <c r="E39" i="2"/>
  <c r="E56" i="2" s="1"/>
  <c r="D39" i="2"/>
  <c r="D56" i="2" s="1"/>
  <c r="D41" i="2"/>
  <c r="D58" i="2" s="1"/>
  <c r="D40" i="2"/>
  <c r="D57" i="2" s="1"/>
  <c r="D42" i="2"/>
  <c r="D59" i="2" s="1"/>
  <c r="D37" i="2"/>
  <c r="D54" i="2" s="1"/>
  <c r="C37" i="2"/>
  <c r="C54" i="2" s="1"/>
  <c r="C41" i="2"/>
  <c r="C58" i="2" s="1"/>
  <c r="C39" i="2"/>
  <c r="C56" i="2" s="1"/>
  <c r="C46" i="2"/>
  <c r="C63" i="2" s="1"/>
  <c r="C40" i="2"/>
  <c r="C57" i="2" s="1"/>
  <c r="C42" i="2"/>
  <c r="C59" i="2" s="1"/>
  <c r="V32" i="2"/>
  <c r="V49" i="2" s="1"/>
  <c r="V66" i="2" s="1"/>
  <c r="U32" i="2"/>
  <c r="U49" i="2" s="1"/>
  <c r="U66" i="2" s="1"/>
  <c r="W32" i="2"/>
  <c r="W49" i="2" s="1"/>
  <c r="W66" i="2" s="1"/>
  <c r="X32" i="2"/>
  <c r="X49" i="2" s="1"/>
  <c r="X66" i="2" s="1"/>
  <c r="Y32" i="2"/>
  <c r="Y49" i="2" s="1"/>
  <c r="Y66" i="2" s="1"/>
  <c r="Z32" i="2"/>
  <c r="Z49" i="2" s="1"/>
  <c r="Z66" i="2" s="1"/>
  <c r="AA32" i="2"/>
  <c r="AA49" i="2" s="1"/>
  <c r="AA66" i="2" s="1"/>
  <c r="Q32" i="2"/>
  <c r="Q49" i="2" s="1"/>
  <c r="Q66" i="2" s="1"/>
  <c r="P32" i="2"/>
  <c r="P49" i="2" s="1"/>
  <c r="P66" i="2" s="1"/>
  <c r="O32" i="2"/>
  <c r="O49" i="2" s="1"/>
  <c r="O66" i="2" s="1"/>
  <c r="N32" i="2"/>
  <c r="N49" i="2" s="1"/>
  <c r="N66" i="2" s="1"/>
  <c r="M32" i="2"/>
  <c r="M49" i="2" s="1"/>
  <c r="M66" i="2" s="1"/>
  <c r="L32" i="2"/>
  <c r="L49" i="2" s="1"/>
  <c r="L66" i="2" s="1"/>
  <c r="R32" i="2"/>
  <c r="R49" i="2" s="1"/>
  <c r="R66" i="2" s="1"/>
  <c r="AA31" i="2"/>
  <c r="AA48" i="2" s="1"/>
  <c r="AA65" i="2" s="1"/>
  <c r="Z31" i="2"/>
  <c r="Z48" i="2" s="1"/>
  <c r="Z65" i="2" s="1"/>
  <c r="Y31" i="2"/>
  <c r="Y48" i="2" s="1"/>
  <c r="Y65" i="2" s="1"/>
  <c r="X31" i="2"/>
  <c r="X48" i="2" s="1"/>
  <c r="X65" i="2" s="1"/>
  <c r="W31" i="2"/>
  <c r="W48" i="2" s="1"/>
  <c r="W65" i="2" s="1"/>
  <c r="V31" i="2"/>
  <c r="V48" i="2" s="1"/>
  <c r="V65" i="2" s="1"/>
  <c r="U31" i="2"/>
  <c r="U48" i="2" s="1"/>
  <c r="U65" i="2" s="1"/>
  <c r="R31" i="2"/>
  <c r="R48" i="2" s="1"/>
  <c r="R65" i="2" s="1"/>
  <c r="P31" i="2"/>
  <c r="P48" i="2" s="1"/>
  <c r="P65" i="2" s="1"/>
  <c r="O31" i="2"/>
  <c r="O48" i="2" s="1"/>
  <c r="O65" i="2" s="1"/>
  <c r="N31" i="2"/>
  <c r="N48" i="2" s="1"/>
  <c r="N65" i="2" s="1"/>
  <c r="M31" i="2"/>
  <c r="M48" i="2" s="1"/>
  <c r="M65" i="2" s="1"/>
  <c r="L31" i="2"/>
  <c r="L48" i="2" s="1"/>
  <c r="L65" i="2" s="1"/>
  <c r="Q31" i="2"/>
  <c r="Q48" i="2" s="1"/>
  <c r="Q65" i="2" s="1"/>
  <c r="AA30" i="2"/>
  <c r="AA47" i="2" s="1"/>
  <c r="AA64" i="2" s="1"/>
  <c r="Z30" i="2"/>
  <c r="Z47" i="2" s="1"/>
  <c r="Z64" i="2" s="1"/>
  <c r="Y30" i="2"/>
  <c r="Y47" i="2" s="1"/>
  <c r="Y64" i="2" s="1"/>
  <c r="X30" i="2"/>
  <c r="X47" i="2" s="1"/>
  <c r="X64" i="2" s="1"/>
  <c r="W30" i="2"/>
  <c r="W47" i="2" s="1"/>
  <c r="W64" i="2" s="1"/>
  <c r="V30" i="2"/>
  <c r="V47" i="2" s="1"/>
  <c r="V64" i="2" s="1"/>
  <c r="U30" i="2"/>
  <c r="U47" i="2" s="1"/>
  <c r="U64" i="2" s="1"/>
  <c r="R30" i="2"/>
  <c r="R47" i="2" s="1"/>
  <c r="R64" i="2" s="1"/>
  <c r="L30" i="2"/>
  <c r="L47" i="2" s="1"/>
  <c r="L64" i="2" s="1"/>
  <c r="M30" i="2"/>
  <c r="M47" i="2" s="1"/>
  <c r="M64" i="2" s="1"/>
  <c r="N30" i="2"/>
  <c r="N47" i="2" s="1"/>
  <c r="N64" i="2" s="1"/>
  <c r="O30" i="2"/>
  <c r="O47" i="2" s="1"/>
  <c r="O64" i="2" s="1"/>
  <c r="P30" i="2"/>
  <c r="P47" i="2" s="1"/>
  <c r="P64" i="2" s="1"/>
  <c r="Q30" i="2"/>
  <c r="Q47" i="2" s="1"/>
  <c r="Q64" i="2" s="1"/>
  <c r="R29" i="2"/>
  <c r="R46" i="2" s="1"/>
  <c r="R63" i="2" s="1"/>
  <c r="Q29" i="2"/>
  <c r="Q46" i="2" s="1"/>
  <c r="Q63" i="2" s="1"/>
  <c r="L29" i="2"/>
  <c r="L46" i="2" s="1"/>
  <c r="L63" i="2" s="1"/>
  <c r="M29" i="2"/>
  <c r="M46" i="2" s="1"/>
  <c r="M63" i="2" s="1"/>
  <c r="N29" i="2"/>
  <c r="N46" i="2" s="1"/>
  <c r="N63" i="2" s="1"/>
  <c r="O29" i="2"/>
  <c r="O46" i="2" s="1"/>
  <c r="O63" i="2" s="1"/>
  <c r="P29" i="2"/>
  <c r="P46" i="2" s="1"/>
  <c r="P63" i="2" s="1"/>
  <c r="O28" i="2"/>
  <c r="O45" i="2" s="1"/>
  <c r="O62" i="2" s="1"/>
  <c r="P28" i="2"/>
  <c r="P45" i="2" s="1"/>
  <c r="P62" i="2" s="1"/>
  <c r="L28" i="2"/>
  <c r="L45" i="2" s="1"/>
  <c r="L62" i="2" s="1"/>
  <c r="M28" i="2"/>
  <c r="M45" i="2" s="1"/>
  <c r="M62" i="2" s="1"/>
  <c r="N28" i="2"/>
  <c r="N45" i="2" s="1"/>
  <c r="N62" i="2" s="1"/>
  <c r="P27" i="2"/>
  <c r="P44" i="2" s="1"/>
  <c r="P61" i="2" s="1"/>
  <c r="Q27" i="2"/>
  <c r="Q44" i="2" s="1"/>
  <c r="Q61" i="2" s="1"/>
  <c r="R27" i="2"/>
  <c r="R44" i="2" s="1"/>
  <c r="R61" i="2" s="1"/>
  <c r="O27" i="2"/>
  <c r="O44" i="2" s="1"/>
  <c r="O61" i="2" s="1"/>
  <c r="N27" i="2"/>
  <c r="N44" i="2" s="1"/>
  <c r="N61" i="2" s="1"/>
  <c r="M27" i="2"/>
  <c r="M44" i="2" s="1"/>
  <c r="M61" i="2" s="1"/>
  <c r="L27" i="2"/>
  <c r="L44" i="2" s="1"/>
  <c r="L61" i="2" s="1"/>
  <c r="O26" i="2"/>
  <c r="O43" i="2" s="1"/>
  <c r="O60" i="2" s="1"/>
  <c r="N26" i="2"/>
  <c r="N43" i="2" s="1"/>
  <c r="N60" i="2" s="1"/>
  <c r="L26" i="2"/>
  <c r="L43" i="2" s="1"/>
  <c r="L60" i="2" s="1"/>
  <c r="R26" i="2"/>
  <c r="R43" i="2" s="1"/>
  <c r="R60" i="2" s="1"/>
  <c r="P26" i="2"/>
  <c r="P43" i="2" s="1"/>
  <c r="P60" i="2" s="1"/>
  <c r="Q26" i="2"/>
  <c r="Q43" i="2" s="1"/>
  <c r="Q60" i="2" s="1"/>
  <c r="M26" i="2"/>
  <c r="M43" i="2" s="1"/>
  <c r="M60" i="2" s="1"/>
  <c r="M25" i="2"/>
  <c r="M42" i="2" s="1"/>
  <c r="M59" i="2" s="1"/>
  <c r="O25" i="2"/>
  <c r="O42" i="2" s="1"/>
  <c r="O59" i="2" s="1"/>
  <c r="N25" i="2"/>
  <c r="N42" i="2" s="1"/>
  <c r="N59" i="2" s="1"/>
  <c r="L25" i="2"/>
  <c r="L42" i="2" s="1"/>
  <c r="L59" i="2" s="1"/>
  <c r="P25" i="2"/>
  <c r="P42" i="2" s="1"/>
  <c r="P59" i="2" s="1"/>
  <c r="Q25" i="2"/>
  <c r="Q42" i="2" s="1"/>
  <c r="Q59" i="2" s="1"/>
  <c r="R25" i="2"/>
  <c r="R42" i="2" s="1"/>
  <c r="R59" i="2" s="1"/>
  <c r="R24" i="2"/>
  <c r="R41" i="2" s="1"/>
  <c r="R58" i="2" s="1"/>
  <c r="Q24" i="2"/>
  <c r="Q41" i="2" s="1"/>
  <c r="Q58" i="2" s="1"/>
  <c r="P24" i="2"/>
  <c r="P41" i="2" s="1"/>
  <c r="P58" i="2" s="1"/>
  <c r="O24" i="2"/>
  <c r="O41" i="2" s="1"/>
  <c r="O58" i="2" s="1"/>
  <c r="N24" i="2"/>
  <c r="N41" i="2" s="1"/>
  <c r="N58" i="2" s="1"/>
  <c r="M24" i="2"/>
  <c r="M41" i="2" s="1"/>
  <c r="M58" i="2" s="1"/>
  <c r="L24" i="2"/>
  <c r="L41" i="2" s="1"/>
  <c r="L58" i="2" s="1"/>
  <c r="L23" i="2"/>
  <c r="L40" i="2" s="1"/>
  <c r="L57" i="2" s="1"/>
  <c r="M23" i="2"/>
  <c r="M40" i="2" s="1"/>
  <c r="M57" i="2" s="1"/>
  <c r="N23" i="2"/>
  <c r="N40" i="2" s="1"/>
  <c r="N57" i="2" s="1"/>
  <c r="O23" i="2"/>
  <c r="O40" i="2" s="1"/>
  <c r="O57" i="2" s="1"/>
  <c r="P23" i="2"/>
  <c r="P40" i="2" s="1"/>
  <c r="P57" i="2" s="1"/>
  <c r="Q23" i="2"/>
  <c r="Q40" i="2" s="1"/>
  <c r="Q57" i="2" s="1"/>
  <c r="R23" i="2"/>
  <c r="R40" i="2" s="1"/>
  <c r="R57" i="2" s="1"/>
  <c r="F27" i="2"/>
  <c r="F44" i="2" s="1"/>
  <c r="F61" i="2" s="1"/>
  <c r="H30" i="2"/>
  <c r="H47" i="2" s="1"/>
  <c r="H64" i="2" s="1"/>
  <c r="H27" i="2"/>
  <c r="H44" i="2" s="1"/>
  <c r="H61" i="2" s="1"/>
  <c r="I27" i="2"/>
  <c r="I44" i="2" s="1"/>
  <c r="I61" i="2" s="1"/>
  <c r="C28" i="2"/>
  <c r="C45" i="2" s="1"/>
  <c r="C62" i="2" s="1"/>
  <c r="D28" i="2"/>
  <c r="D45" i="2" s="1"/>
  <c r="D62" i="2" s="1"/>
  <c r="E28" i="2"/>
  <c r="E45" i="2" s="1"/>
  <c r="E62" i="2" s="1"/>
  <c r="F28" i="2"/>
  <c r="F45" i="2" s="1"/>
  <c r="F62" i="2" s="1"/>
  <c r="I26" i="2"/>
  <c r="I43" i="2" s="1"/>
  <c r="I60" i="2" s="1"/>
  <c r="H26" i="2"/>
  <c r="H43" i="2" s="1"/>
  <c r="H60" i="2" s="1"/>
  <c r="G26" i="2"/>
  <c r="G43" i="2" s="1"/>
  <c r="G60" i="2" s="1"/>
  <c r="F26" i="2"/>
  <c r="F43" i="2" s="1"/>
  <c r="F60" i="2" s="1"/>
  <c r="E26" i="2"/>
  <c r="E43" i="2" s="1"/>
  <c r="E60" i="2" s="1"/>
  <c r="D26" i="2"/>
  <c r="D43" i="2" s="1"/>
  <c r="D60" i="2" s="1"/>
  <c r="C26" i="2"/>
  <c r="C43" i="2" s="1"/>
  <c r="C60" i="2" s="1"/>
  <c r="G28" i="2"/>
  <c r="G45" i="2" s="1"/>
  <c r="G62" i="2" s="1"/>
  <c r="H28" i="2"/>
  <c r="H45" i="2" s="1"/>
  <c r="H62" i="2" s="1"/>
  <c r="I28" i="2"/>
  <c r="I45" i="2" s="1"/>
  <c r="I62" i="2" s="1"/>
  <c r="D29" i="2"/>
  <c r="D46" i="2" s="1"/>
  <c r="D63" i="2" s="1"/>
  <c r="E29" i="2"/>
  <c r="E46" i="2" s="1"/>
  <c r="E63" i="2" s="1"/>
  <c r="F29" i="2"/>
  <c r="F46" i="2" s="1"/>
  <c r="F63" i="2" s="1"/>
  <c r="G29" i="2"/>
  <c r="G46" i="2" s="1"/>
  <c r="G63" i="2" s="1"/>
  <c r="H29" i="2"/>
  <c r="H46" i="2" s="1"/>
  <c r="H63" i="2" s="1"/>
  <c r="I29" i="2"/>
  <c r="I46" i="2" s="1"/>
  <c r="I63" i="2" s="1"/>
  <c r="C30" i="2"/>
  <c r="C47" i="2" s="1"/>
  <c r="C64" i="2" s="1"/>
  <c r="D30" i="2"/>
  <c r="D47" i="2" s="1"/>
  <c r="D64" i="2" s="1"/>
  <c r="E30" i="2"/>
  <c r="E47" i="2" s="1"/>
  <c r="E64" i="2" s="1"/>
  <c r="F30" i="2"/>
  <c r="F47" i="2" s="1"/>
  <c r="F64" i="2" s="1"/>
  <c r="C27" i="2"/>
  <c r="C44" i="2" s="1"/>
  <c r="C61" i="2" s="1"/>
  <c r="C31" i="2"/>
  <c r="C48" i="2" s="1"/>
  <c r="C65" i="2" s="1"/>
  <c r="D31" i="2"/>
  <c r="D48" i="2" s="1"/>
  <c r="D65" i="2" s="1"/>
  <c r="E31" i="2"/>
  <c r="E48" i="2" s="1"/>
  <c r="E65" i="2" s="1"/>
  <c r="F31" i="2"/>
  <c r="F48" i="2" s="1"/>
  <c r="F65" i="2" s="1"/>
  <c r="G31" i="2"/>
  <c r="G48" i="2" s="1"/>
  <c r="G65" i="2" s="1"/>
  <c r="H31" i="2"/>
  <c r="H48" i="2" s="1"/>
  <c r="H65" i="2" s="1"/>
  <c r="I31" i="2"/>
  <c r="I48" i="2" s="1"/>
  <c r="I65" i="2" s="1"/>
  <c r="I19" i="2"/>
  <c r="I36" i="2" s="1"/>
  <c r="I53" i="2" s="1"/>
  <c r="H19" i="2"/>
  <c r="H36" i="2" s="1"/>
  <c r="H53" i="2" s="1"/>
  <c r="G19" i="2"/>
  <c r="G36" i="2" s="1"/>
  <c r="G53" i="2" s="1"/>
  <c r="F19" i="2"/>
  <c r="E19" i="2"/>
  <c r="E36" i="2" s="1"/>
  <c r="E53" i="2" s="1"/>
  <c r="D19" i="2"/>
  <c r="D36" i="2" s="1"/>
  <c r="D53" i="2" s="1"/>
  <c r="C19" i="2"/>
  <c r="C36" i="2" s="1"/>
  <c r="C53" i="2" s="1"/>
  <c r="C32" i="2"/>
  <c r="C49" i="2" s="1"/>
  <c r="C66" i="2" s="1"/>
  <c r="D32" i="2"/>
  <c r="D49" i="2" s="1"/>
  <c r="D66" i="2" s="1"/>
  <c r="E32" i="2"/>
  <c r="E49" i="2" s="1"/>
  <c r="E66" i="2" s="1"/>
  <c r="F32" i="2"/>
  <c r="F49" i="2" s="1"/>
  <c r="F66" i="2" s="1"/>
  <c r="G32" i="2"/>
  <c r="G49" i="2" s="1"/>
  <c r="G66" i="2" s="1"/>
  <c r="H32" i="2"/>
  <c r="H49" i="2" s="1"/>
  <c r="H66" i="2" s="1"/>
  <c r="D27" i="2"/>
  <c r="D44" i="2" s="1"/>
  <c r="D61" i="2" s="1"/>
  <c r="E27" i="2"/>
  <c r="E44" i="2" s="1"/>
  <c r="E61" i="2" s="1"/>
  <c r="I32" i="2"/>
  <c r="I49" i="2" s="1"/>
  <c r="I66" i="2" s="1"/>
  <c r="G30" i="2"/>
  <c r="G47" i="2" s="1"/>
  <c r="G64" i="2" s="1"/>
  <c r="I30" i="2"/>
  <c r="I47" i="2" s="1"/>
  <c r="I64" i="2" s="1"/>
  <c r="G27" i="2"/>
  <c r="G44" i="2" s="1"/>
  <c r="G61" i="2" s="1"/>
  <c r="C6" i="4" l="1"/>
  <c r="C8" i="4"/>
  <c r="C7" i="4"/>
  <c r="C4" i="4"/>
  <c r="F36" i="2"/>
  <c r="C9" i="4" l="1"/>
  <c r="C10" i="4" s="1"/>
  <c r="F53" i="2"/>
  <c r="B5" i="4"/>
  <c r="B10" i="4" s="1"/>
  <c r="C11" i="4" l="1"/>
  <c r="C12" i="4"/>
  <c r="B11" i="4"/>
  <c r="B12" i="4" s="1"/>
</calcChain>
</file>

<file path=xl/sharedStrings.xml><?xml version="1.0" encoding="utf-8"?>
<sst xmlns="http://schemas.openxmlformats.org/spreadsheetml/2006/main" count="394" uniqueCount="65">
  <si>
    <t>Instructions</t>
  </si>
  <si>
    <t>C-D Model:</t>
  </si>
  <si>
    <t>In the C-D Model tab, fill in the formulas in the grids to calculate daily throughput, manufacturing overhead per unit, and manufacturing overhead + materials cost per unit.</t>
  </si>
  <si>
    <t>The Cobb-Douglas equation for annual throughput is in the light blue box at the top of the sheet.</t>
  </si>
  <si>
    <t>The parameters for A, alpha, and beta for each factory type are listed in the factory parameters boxes at the top of the sheet to the left of the Cobb-Douglas equation.</t>
  </si>
  <si>
    <t>The capital (K) and daily labor (Ldaily) inputs for the Cobb-Douglas function are listed in the row and column labels for each grid. Daily labor is referred to as daily expenditure in the simulation.</t>
  </si>
  <si>
    <t>Your formulas should reference the factory parameters at the top of the sheet, and the K and L values in each grid's row and column labels.</t>
  </si>
  <si>
    <t>The cells highlighted in yellow are intended to contain changeable inputs for your formulas. The values in the other cells should not be changed.</t>
  </si>
  <si>
    <t>Rows for values of K that are less than the minimum required capital for a factory type are grayed out.</t>
  </si>
  <si>
    <t>You can find more information on the Cobb-Douglas function in the Production section of the Gleacher Game Case Brief posted on Canvas.</t>
  </si>
  <si>
    <t>Initial Parameters:</t>
  </si>
  <si>
    <t>The Initial Parameters tab is included for your convenience. It contains some factory, distribution center, and tax rate parameters for the start of the simulation.</t>
  </si>
  <si>
    <t>A more comprehensive summary of simulation parameters can be found in the Quick Reference document posted on Canvas.</t>
  </si>
  <si>
    <t>Contribution Margin Table:</t>
  </si>
  <si>
    <t>The Contribution Margin Table tab contains a template, included here for your convenience, that you can use for calculating contribution margin per unit and per day.</t>
  </si>
  <si>
    <t>Bench Factory Parameters</t>
  </si>
  <si>
    <t>Line Factory Parameters</t>
  </si>
  <si>
    <t>Cell Factory Parameters</t>
  </si>
  <si>
    <t>Y = A KαLβ</t>
  </si>
  <si>
    <t>A</t>
  </si>
  <si>
    <t>α</t>
  </si>
  <si>
    <t>β</t>
  </si>
  <si>
    <t>Depreciation years</t>
  </si>
  <si>
    <t>α+β</t>
  </si>
  <si>
    <t>Setup time, in days</t>
  </si>
  <si>
    <t># of days per year</t>
  </si>
  <si>
    <t xml:space="preserve">Batch size </t>
  </si>
  <si>
    <t xml:space="preserve">Minimum capital </t>
  </si>
  <si>
    <t>Materials cost per unit</t>
  </si>
  <si>
    <t>Bench</t>
  </si>
  <si>
    <t>Line</t>
  </si>
  <si>
    <t>Cell</t>
  </si>
  <si>
    <t>Daily Throughput in units, including setup time</t>
  </si>
  <si>
    <t>K ↓ vs Ldaily →</t>
  </si>
  <si>
    <t>N/A</t>
  </si>
  <si>
    <t>Manufacturing Overhead per unit</t>
  </si>
  <si>
    <t>Manufacturing Overhead plus Materials Cost per unit</t>
  </si>
  <si>
    <t>Initial Factory Parameters</t>
  </si>
  <si>
    <t>Technology</t>
  </si>
  <si>
    <t>K</t>
  </si>
  <si>
    <t>Ldaily</t>
  </si>
  <si>
    <t>$2,500 / day</t>
  </si>
  <si>
    <t>Batch size</t>
  </si>
  <si>
    <t>100 units</t>
  </si>
  <si>
    <t>Initial Distribution Center Parameters</t>
  </si>
  <si>
    <t>Heart View Price</t>
  </si>
  <si>
    <t>$700 / unit</t>
  </si>
  <si>
    <t>Handling Cost</t>
  </si>
  <si>
    <t>$10 / unit</t>
  </si>
  <si>
    <t>Sales Commission</t>
  </si>
  <si>
    <t>20% of price</t>
  </si>
  <si>
    <t>Other</t>
  </si>
  <si>
    <t>Tax Rate</t>
  </si>
  <si>
    <t>Per Unit</t>
  </si>
  <si>
    <t>Per Day</t>
  </si>
  <si>
    <t>Revenue</t>
  </si>
  <si>
    <t>Manufacturing Overhead</t>
  </si>
  <si>
    <t>Materials</t>
  </si>
  <si>
    <t>Shipping</t>
  </si>
  <si>
    <t>Handling ($10 per unit)</t>
  </si>
  <si>
    <t>Commission (20% of revenue)</t>
  </si>
  <si>
    <t>Contribution Margin before Tax</t>
  </si>
  <si>
    <t>Tax (35% tax rate)</t>
  </si>
  <si>
    <t>Contribution Margin after Tax</t>
  </si>
  <si>
    <t>Note: Scenario (a) — P=$700, Bench factory K=$100K, L=$2,500/day, batch=100, in-region container shipping ($5K/100 = $50/unit). Throughput = 9.0443 units/day at these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</si>
</sst>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3" formatCode="_(* #,##0.00_);_(* \(#,##0.00\);_(* &quot;-&quot;??_);_(@_)"/>
    <numFmt numFmtId="164" formatCode="0\)"/>
    <numFmt numFmtId="165" formatCode="_(* #,##0.0000_);_(* \(#,##0.00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_(* #,##0.000_);_(* \(#,##0.000\);_(* &quot;-&quot;??_);_(@_)"/>
    <numFmt numFmtId="169" formatCode="\$#,##0.00"/>
    <numFmt numFmtId="170" formatCode="#,##0%_);[Red]\(#,##0%\)"/>
    <numFmt numFmtId="171" formatCode="&quot;$&quot;#,##0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CC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2E75B5"/>
        <bgColor rgb="FF2E75B5"/>
      </patternFill>
    </fill>
    <fill>
      <patternFill patternType="solid">
        <fgColor rgb="FFDDDDDD"/>
        <bgColor rgb="FFDDDDDD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000000"/>
      </top>
      <bottom style="thin">
        <color rgb="FF000000"/>
      </bottom>
      <diagonal/>
    </border>
    <border>
      <left style="thin">
        <color rgb="FFF2F2F2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FBFBF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4" borderId="15" xfId="0" applyFont="1" applyFill="1" applyBorder="1" applyAlignment="1">
      <alignment vertical="center"/>
    </xf>
    <xf numFmtId="167" fontId="10" fillId="6" borderId="22" xfId="0" applyNumberFormat="1" applyFont="1" applyFill="1" applyBorder="1" applyAlignment="1">
      <alignment vertical="center"/>
    </xf>
    <xf numFmtId="0" fontId="6" fillId="7" borderId="23" xfId="0" applyFont="1" applyFill="1" applyBorder="1" applyAlignment="1">
      <alignment horizontal="right" vertical="center"/>
    </xf>
    <xf numFmtId="166" fontId="10" fillId="6" borderId="24" xfId="0" applyNumberFormat="1" applyFont="1" applyFill="1" applyBorder="1" applyAlignment="1">
      <alignment horizontal="right" vertical="center"/>
    </xf>
    <xf numFmtId="166" fontId="10" fillId="6" borderId="25" xfId="0" applyNumberFormat="1" applyFont="1" applyFill="1" applyBorder="1" applyAlignment="1">
      <alignment horizontal="right" vertical="center"/>
    </xf>
    <xf numFmtId="166" fontId="10" fillId="6" borderId="26" xfId="0" applyNumberFormat="1" applyFont="1" applyFill="1" applyBorder="1" applyAlignment="1">
      <alignment horizontal="right" vertical="center"/>
    </xf>
    <xf numFmtId="166" fontId="9" fillId="3" borderId="27" xfId="0" applyNumberFormat="1" applyFont="1" applyFill="1" applyBorder="1" applyAlignment="1">
      <alignment horizontal="right" vertical="center"/>
    </xf>
    <xf numFmtId="166" fontId="9" fillId="3" borderId="28" xfId="0" applyNumberFormat="1" applyFont="1" applyFill="1" applyBorder="1" applyAlignment="1">
      <alignment horizontal="right" vertical="center"/>
    </xf>
    <xf numFmtId="166" fontId="9" fillId="3" borderId="29" xfId="0" applyNumberFormat="1" applyFont="1" applyFill="1" applyBorder="1" applyAlignment="1">
      <alignment horizontal="right" vertical="center"/>
    </xf>
    <xf numFmtId="166" fontId="10" fillId="6" borderId="30" xfId="0" applyNumberFormat="1" applyFont="1" applyFill="1" applyBorder="1" applyAlignment="1">
      <alignment horizontal="right" vertical="center"/>
    </xf>
    <xf numFmtId="2" fontId="5" fillId="0" borderId="31" xfId="0" applyNumberFormat="1" applyFont="1" applyBorder="1" applyAlignment="1">
      <alignment horizontal="right" vertical="center"/>
    </xf>
    <xf numFmtId="2" fontId="5" fillId="0" borderId="32" xfId="0" applyNumberFormat="1" applyFont="1" applyBorder="1" applyAlignment="1">
      <alignment horizontal="right" vertical="center"/>
    </xf>
    <xf numFmtId="2" fontId="5" fillId="0" borderId="33" xfId="0" applyNumberFormat="1" applyFont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8" fontId="5" fillId="8" borderId="35" xfId="0" applyNumberFormat="1" applyFont="1" applyFill="1" applyBorder="1" applyAlignment="1">
      <alignment horizontal="right" vertical="center"/>
    </xf>
    <xf numFmtId="168" fontId="5" fillId="8" borderId="32" xfId="0" applyNumberFormat="1" applyFont="1" applyFill="1" applyBorder="1" applyAlignment="1">
      <alignment horizontal="right" vertical="center"/>
    </xf>
    <xf numFmtId="168" fontId="5" fillId="8" borderId="33" xfId="0" applyNumberFormat="1" applyFont="1" applyFill="1" applyBorder="1" applyAlignment="1">
      <alignment horizontal="right" vertical="center"/>
    </xf>
    <xf numFmtId="166" fontId="10" fillId="6" borderId="36" xfId="0" applyNumberFormat="1" applyFont="1" applyFill="1" applyBorder="1" applyAlignment="1">
      <alignment horizontal="right" vertical="center"/>
    </xf>
    <xf numFmtId="2" fontId="5" fillId="0" borderId="37" xfId="0" applyNumberFormat="1" applyFont="1" applyBorder="1" applyAlignment="1">
      <alignment horizontal="right" vertical="center"/>
    </xf>
    <xf numFmtId="2" fontId="5" fillId="0" borderId="38" xfId="0" applyNumberFormat="1" applyFont="1" applyBorder="1" applyAlignment="1">
      <alignment horizontal="right" vertical="center"/>
    </xf>
    <xf numFmtId="2" fontId="5" fillId="0" borderId="39" xfId="0" applyNumberFormat="1" applyFont="1" applyBorder="1" applyAlignment="1">
      <alignment horizontal="right" vertical="center"/>
    </xf>
    <xf numFmtId="166" fontId="9" fillId="3" borderId="40" xfId="0" applyNumberFormat="1" applyFont="1" applyFill="1" applyBorder="1" applyAlignment="1">
      <alignment horizontal="right" vertical="center"/>
    </xf>
    <xf numFmtId="168" fontId="5" fillId="8" borderId="41" xfId="0" applyNumberFormat="1" applyFont="1" applyFill="1" applyBorder="1" applyAlignment="1">
      <alignment horizontal="right" vertical="center"/>
    </xf>
    <xf numFmtId="168" fontId="5" fillId="8" borderId="38" xfId="0" applyNumberFormat="1" applyFont="1" applyFill="1" applyBorder="1" applyAlignment="1">
      <alignment horizontal="right" vertical="center"/>
    </xf>
    <xf numFmtId="168" fontId="5" fillId="8" borderId="39" xfId="0" applyNumberFormat="1" applyFont="1" applyFill="1" applyBorder="1" applyAlignment="1">
      <alignment horizontal="right" vertical="center"/>
    </xf>
    <xf numFmtId="166" fontId="10" fillId="6" borderId="42" xfId="0" applyNumberFormat="1" applyFont="1" applyFill="1" applyBorder="1" applyAlignment="1">
      <alignment horizontal="right" vertical="center"/>
    </xf>
    <xf numFmtId="2" fontId="5" fillId="0" borderId="43" xfId="0" applyNumberFormat="1" applyFont="1" applyBorder="1" applyAlignment="1">
      <alignment horizontal="right" vertical="center"/>
    </xf>
    <xf numFmtId="2" fontId="5" fillId="0" borderId="44" xfId="0" applyNumberFormat="1" applyFont="1" applyBorder="1" applyAlignment="1">
      <alignment horizontal="right" vertical="center"/>
    </xf>
    <xf numFmtId="2" fontId="5" fillId="0" borderId="45" xfId="0" applyNumberFormat="1" applyFont="1" applyBorder="1" applyAlignment="1">
      <alignment horizontal="right" vertical="center"/>
    </xf>
    <xf numFmtId="166" fontId="9" fillId="3" borderId="46" xfId="0" applyNumberFormat="1" applyFont="1" applyFill="1" applyBorder="1" applyAlignment="1">
      <alignment horizontal="right" vertical="center"/>
    </xf>
    <xf numFmtId="169" fontId="5" fillId="0" borderId="47" xfId="0" applyNumberFormat="1" applyFont="1" applyBorder="1" applyAlignment="1">
      <alignment horizontal="right" vertical="center"/>
    </xf>
    <xf numFmtId="169" fontId="5" fillId="0" borderId="32" xfId="0" applyNumberFormat="1" applyFont="1" applyBorder="1" applyAlignment="1">
      <alignment horizontal="right" vertical="center"/>
    </xf>
    <xf numFmtId="169" fontId="5" fillId="0" borderId="33" xfId="0" applyNumberFormat="1" applyFont="1" applyBorder="1" applyAlignment="1">
      <alignment horizontal="right" vertical="center"/>
    </xf>
    <xf numFmtId="43" fontId="5" fillId="8" borderId="47" xfId="0" applyNumberFormat="1" applyFont="1" applyFill="1" applyBorder="1" applyAlignment="1">
      <alignment horizontal="right" vertical="center"/>
    </xf>
    <xf numFmtId="43" fontId="5" fillId="8" borderId="32" xfId="0" applyNumberFormat="1" applyFont="1" applyFill="1" applyBorder="1" applyAlignment="1">
      <alignment horizontal="right" vertical="center"/>
    </xf>
    <xf numFmtId="43" fontId="5" fillId="8" borderId="33" xfId="0" applyNumberFormat="1" applyFont="1" applyFill="1" applyBorder="1" applyAlignment="1">
      <alignment horizontal="right" vertical="center"/>
    </xf>
    <xf numFmtId="169" fontId="5" fillId="0" borderId="48" xfId="0" applyNumberFormat="1" applyFont="1" applyBorder="1" applyAlignment="1">
      <alignment horizontal="right" vertical="center"/>
    </xf>
    <xf numFmtId="169" fontId="5" fillId="0" borderId="38" xfId="0" applyNumberFormat="1" applyFont="1" applyBorder="1" applyAlignment="1">
      <alignment horizontal="right" vertical="center"/>
    </xf>
    <xf numFmtId="169" fontId="5" fillId="0" borderId="39" xfId="0" applyNumberFormat="1" applyFont="1" applyBorder="1" applyAlignment="1">
      <alignment horizontal="right" vertical="center"/>
    </xf>
    <xf numFmtId="43" fontId="5" fillId="8" borderId="48" xfId="0" applyNumberFormat="1" applyFont="1" applyFill="1" applyBorder="1" applyAlignment="1">
      <alignment horizontal="right" vertical="center"/>
    </xf>
    <xf numFmtId="43" fontId="5" fillId="8" borderId="38" xfId="0" applyNumberFormat="1" applyFont="1" applyFill="1" applyBorder="1" applyAlignment="1">
      <alignment horizontal="right" vertical="center"/>
    </xf>
    <xf numFmtId="43" fontId="5" fillId="8" borderId="39" xfId="0" applyNumberFormat="1" applyFont="1" applyFill="1" applyBorder="1" applyAlignment="1">
      <alignment horizontal="right" vertical="center"/>
    </xf>
    <xf numFmtId="169" fontId="5" fillId="0" borderId="49" xfId="0" applyNumberFormat="1" applyFont="1" applyBorder="1" applyAlignment="1">
      <alignment horizontal="right" vertical="center"/>
    </xf>
    <xf numFmtId="169" fontId="5" fillId="0" borderId="44" xfId="0" applyNumberFormat="1" applyFont="1" applyBorder="1" applyAlignment="1">
      <alignment horizontal="right" vertical="center"/>
    </xf>
    <xf numFmtId="169" fontId="5" fillId="0" borderId="45" xfId="0" applyNumberFormat="1" applyFont="1" applyBorder="1" applyAlignment="1">
      <alignment horizontal="right" vertical="center"/>
    </xf>
    <xf numFmtId="169" fontId="5" fillId="0" borderId="0" xfId="0" applyNumberFormat="1" applyFont="1"/>
    <xf numFmtId="170" fontId="5" fillId="0" borderId="0" xfId="0" applyNumberFormat="1" applyFont="1"/>
    <xf numFmtId="43" fontId="5" fillId="0" borderId="0" xfId="0" applyNumberFormat="1" applyFont="1"/>
    <xf numFmtId="0" fontId="8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horizontal="center" vertical="center"/>
    </xf>
    <xf numFmtId="171" fontId="3" fillId="0" borderId="13" xfId="0" applyNumberFormat="1" applyFont="1" applyBorder="1" applyAlignment="1">
      <alignment horizontal="center" vertical="center"/>
    </xf>
    <xf numFmtId="6" fontId="3" fillId="0" borderId="13" xfId="0" applyNumberFormat="1" applyFont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left" vertical="center" wrapText="1"/>
    </xf>
    <xf numFmtId="169" fontId="12" fillId="0" borderId="52" xfId="0" applyNumberFormat="1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169" fontId="12" fillId="0" borderId="53" xfId="0" applyNumberFormat="1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169" fontId="11" fillId="0" borderId="52" xfId="0" applyNumberFormat="1" applyFont="1" applyBorder="1" applyAlignment="1">
      <alignment horizontal="left" vertical="center" wrapText="1"/>
    </xf>
    <xf numFmtId="0" fontId="13" fillId="0" borderId="0" xfId="0" applyFont="1"/>
    <xf numFmtId="0" fontId="9" fillId="4" borderId="10" xfId="0" applyFont="1" applyFill="1" applyBorder="1" applyAlignment="1">
      <alignment horizontal="right" vertical="center"/>
    </xf>
    <xf numFmtId="0" fontId="7" fillId="0" borderId="11" xfId="0" applyFont="1" applyBorder="1"/>
    <xf numFmtId="43" fontId="5" fillId="5" borderId="10" xfId="0" applyNumberFormat="1" applyFont="1" applyFill="1" applyBorder="1" applyAlignment="1">
      <alignment horizontal="center" vertical="center"/>
    </xf>
    <xf numFmtId="0" fontId="7" fillId="0" borderId="12" xfId="0" applyFont="1" applyBorder="1"/>
    <xf numFmtId="0" fontId="9" fillId="4" borderId="1" xfId="0" applyFont="1" applyFill="1" applyBorder="1" applyAlignment="1">
      <alignment horizontal="right" vertical="center"/>
    </xf>
    <xf numFmtId="0" fontId="7" fillId="0" borderId="5" xfId="0" applyFont="1" applyBorder="1"/>
    <xf numFmtId="166" fontId="10" fillId="6" borderId="16" xfId="0" applyNumberFormat="1" applyFont="1" applyFill="1" applyBorder="1" applyAlignment="1">
      <alignment horizontal="center" vertical="center"/>
    </xf>
    <xf numFmtId="0" fontId="7" fillId="0" borderId="17" xfId="0" applyFont="1" applyBorder="1"/>
    <xf numFmtId="0" fontId="6" fillId="7" borderId="1" xfId="0" applyFont="1" applyFill="1" applyBorder="1" applyAlignment="1">
      <alignment horizontal="center" vertical="center"/>
    </xf>
    <xf numFmtId="0" fontId="7" fillId="0" borderId="4" xfId="0" applyFont="1" applyBorder="1"/>
    <xf numFmtId="0" fontId="5" fillId="5" borderId="1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right" vertical="center"/>
    </xf>
    <xf numFmtId="0" fontId="7" fillId="0" borderId="19" xfId="0" applyFont="1" applyBorder="1"/>
    <xf numFmtId="167" fontId="5" fillId="5" borderId="18" xfId="0" applyNumberFormat="1" applyFont="1" applyFill="1" applyBorder="1" applyAlignment="1">
      <alignment horizontal="center" vertical="center"/>
    </xf>
    <xf numFmtId="0" fontId="7" fillId="0" borderId="20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9" fillId="4" borderId="6" xfId="0" applyFont="1" applyFill="1" applyBorder="1" applyAlignment="1">
      <alignment horizontal="right" vertical="center"/>
    </xf>
    <xf numFmtId="0" fontId="7" fillId="0" borderId="7" xfId="0" applyFont="1" applyBorder="1"/>
    <xf numFmtId="0" fontId="7" fillId="0" borderId="21" xfId="0" applyFont="1" applyBorder="1"/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s/Hand%20&amp;%20Cloth/Financial%20Model/Hand&amp;Cloth.Model.v20%20(tables%20condensed%20for%20presentation%20appendix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hkapp/Desktop/Template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s/Hand%20&amp;%20Cloth/Financial%20Model/Hand&amp;Cloth.Model.v3%20(exc%20private%20label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vincecavin/Dropbox/Dig%20Foods/Financials/Payroll/2013/6-28/Panzanzee.FinancialModel.v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ev/Documents/Booth/Courses/34106%20-%20Commercializing%20Innovation/Dropbox%20-%20Commercializing%20Innovation/Week%206%20-%20PPA/Model/CI_02_Group%2001_PPA%20Uni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Assumptions"/>
      <sheetName val="Products"/>
      <sheetName val="(BD) Workers"/>
      <sheetName val="(BD) Staff"/>
      <sheetName val="(BD) OpEx"/>
      <sheetName val="(BD) CapEx"/>
      <sheetName val="(BD) Inventory"/>
      <sheetName val="(BD) SG&amp;A"/>
      <sheetName val="Productivity"/>
      <sheetName val="(BD) Unit Model"/>
      <sheetName val="(BD) Rollout"/>
      <sheetName val="(BD) Rollup"/>
      <sheetName val="(US) Shipping"/>
      <sheetName val="(US) S&amp;M Karima"/>
      <sheetName val="(US) S&amp;M"/>
      <sheetName val="(US) G&amp;A"/>
      <sheetName val="(US) Model"/>
      <sheetName val="(US) Rollout"/>
      <sheetName val="(US-BD) Rollup"/>
      <sheetName val="Growth Strategy"/>
      <sheetName val="Marketing Strategy"/>
      <sheetName val="Key Unit Model Assumptions"/>
      <sheetName val="Co-Op Growth"/>
      <sheetName val="Revenue Model Graphs"/>
      <sheetName val="Cost Model Graphs"/>
      <sheetName val="Funding"/>
      <sheetName val="Funding (2)"/>
      <sheetName val="Funding (3)"/>
      <sheetName val="Profit Distribution"/>
      <sheetName val="Analogs"/>
      <sheetName val="B.Outreach"/>
    </sheetNames>
    <sheetDataSet>
      <sheetData sheetId="0">
        <row r="5">
          <cell r="B5">
            <v>70</v>
          </cell>
        </row>
        <row r="7">
          <cell r="B7">
            <v>52</v>
          </cell>
        </row>
        <row r="8">
          <cell r="B8">
            <v>0.4</v>
          </cell>
        </row>
      </sheetData>
      <sheetData sheetId="1" refreshError="1"/>
      <sheetData sheetId="2">
        <row r="4">
          <cell r="B4">
            <v>110</v>
          </cell>
        </row>
        <row r="19">
          <cell r="B19">
            <v>25</v>
          </cell>
        </row>
      </sheetData>
      <sheetData sheetId="3">
        <row r="5">
          <cell r="D5">
            <v>9000</v>
          </cell>
        </row>
        <row r="6">
          <cell r="D6">
            <v>4000</v>
          </cell>
        </row>
        <row r="7">
          <cell r="D7">
            <v>2500</v>
          </cell>
        </row>
        <row r="8">
          <cell r="D8">
            <v>4000</v>
          </cell>
        </row>
        <row r="10">
          <cell r="D10">
            <v>0.6</v>
          </cell>
        </row>
        <row r="11">
          <cell r="D11">
            <v>0.25</v>
          </cell>
        </row>
        <row r="12">
          <cell r="D12">
            <v>1000</v>
          </cell>
        </row>
        <row r="13">
          <cell r="D13">
            <v>6500</v>
          </cell>
        </row>
        <row r="14">
          <cell r="D14">
            <v>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8">
          <cell r="B58">
            <v>1200</v>
          </cell>
        </row>
        <row r="60">
          <cell r="B60">
            <v>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Valuation"/>
      <sheetName val="Charts"/>
      <sheetName val="Acquiror"/>
      <sheetName val="Assumption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C8" t="str">
            <v>Confidential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Assumptions"/>
      <sheetName val="Staff"/>
      <sheetName val="Wage Workers"/>
      <sheetName val="Fixed Operating Expenses"/>
      <sheetName val="Initial Equipment"/>
      <sheetName val="Initial Inventory"/>
      <sheetName val="Productivity"/>
      <sheetName val="Shipping"/>
      <sheetName val="Marketing&amp;Sales"/>
      <sheetName val="Marketing&amp;Sales_Karima"/>
      <sheetName val="US Management"/>
      <sheetName val="US HQ"/>
      <sheetName val="Assump Operation"/>
    </sheetNames>
    <sheetDataSet>
      <sheetData sheetId="0">
        <row r="6">
          <cell r="B6">
            <v>12</v>
          </cell>
        </row>
      </sheetData>
      <sheetData sheetId="1">
        <row r="9">
          <cell r="C9">
            <v>3500</v>
          </cell>
        </row>
      </sheetData>
      <sheetData sheetId="2">
        <row r="7">
          <cell r="B7">
            <v>46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Analog Matrix"/>
      <sheetName val="Other Analog Data"/>
      <sheetName val="Unit Model (Old, Combined)"/>
      <sheetName val="Perceptual Map"/>
      <sheetName val="Perceptual Map (Chart)"/>
      <sheetName val="Unit Model (Small Incubator)"/>
      <sheetName val="Unit Model (Large Incubator)"/>
      <sheetName val="Unit Model (Consolidated)"/>
      <sheetName val="Income Statement"/>
      <sheetName val="Revenue Model Graphs"/>
      <sheetName val="Cost Model Graphs"/>
      <sheetName val="Funding"/>
    </sheetNames>
    <sheetDataSet>
      <sheetData sheetId="0">
        <row r="3">
          <cell r="CB3">
            <v>12</v>
          </cell>
        </row>
      </sheetData>
      <sheetData sheetId="1"/>
      <sheetData sheetId="2">
        <row r="3">
          <cell r="CB3">
            <v>12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Analog A"/>
      <sheetName val="Analog B"/>
      <sheetName val="Quanti Matrix"/>
      <sheetName val="Assump._UNIT Investment"/>
      <sheetName val="Salary Assumptions"/>
      <sheetName val="Assump._UNIT Operation"/>
      <sheetName val="Unit Model"/>
      <sheetName val="Unit Model2"/>
      <sheetName val="Assumptions_Corp.Marketing"/>
      <sheetName val="Unit Model_Fran"/>
      <sheetName val="Assumption_Corp.G&amp;A"/>
      <sheetName val="Rollout"/>
      <sheetName val="Rollup"/>
      <sheetName val="Assumption_Propening Expense"/>
    </sheetNames>
    <sheetDataSet>
      <sheetData sheetId="0">
        <row r="7">
          <cell r="D7" t="str">
            <v>PPA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showGridLines="0" tabSelected="1" workbookViewId="0"/>
  </sheetViews>
  <sheetFormatPr baseColWidth="10" defaultColWidth="14.5" defaultRowHeight="15" customHeight="1" x14ac:dyDescent="0.2"/>
  <cols>
    <col min="1" max="1" width="0.1640625" customWidth="1"/>
    <col min="2" max="2" width="2.5" customWidth="1"/>
    <col min="3" max="26" width="8.83203125" customWidth="1"/>
  </cols>
  <sheetData>
    <row r="1" spans="2:3" x14ac:dyDescent="0.2">
      <c r="B1" s="1" t="s">
        <v>0</v>
      </c>
    </row>
    <row r="2" spans="2:3" x14ac:dyDescent="0.2">
      <c r="C2" s="1"/>
    </row>
    <row r="3" spans="2:3" x14ac:dyDescent="0.2">
      <c r="B3" s="2" t="s">
        <v>1</v>
      </c>
    </row>
    <row r="4" spans="2:3" x14ac:dyDescent="0.2">
      <c r="B4" s="3">
        <v>1</v>
      </c>
      <c r="C4" s="4" t="s">
        <v>2</v>
      </c>
    </row>
    <row r="5" spans="2:3" x14ac:dyDescent="0.2">
      <c r="B5" s="3">
        <v>2</v>
      </c>
      <c r="C5" s="4" t="s">
        <v>3</v>
      </c>
    </row>
    <row r="6" spans="2:3" x14ac:dyDescent="0.2">
      <c r="B6" s="3">
        <v>3</v>
      </c>
      <c r="C6" s="4" t="s">
        <v>4</v>
      </c>
    </row>
    <row r="7" spans="2:3" ht="16.5" customHeight="1" x14ac:dyDescent="0.2">
      <c r="B7" s="3">
        <v>4</v>
      </c>
      <c r="C7" s="4" t="s">
        <v>5</v>
      </c>
    </row>
    <row r="8" spans="2:3" x14ac:dyDescent="0.2">
      <c r="B8" s="3">
        <v>5</v>
      </c>
      <c r="C8" s="4" t="s">
        <v>6</v>
      </c>
    </row>
    <row r="9" spans="2:3" x14ac:dyDescent="0.2">
      <c r="B9" s="3">
        <v>6</v>
      </c>
      <c r="C9" s="4" t="s">
        <v>7</v>
      </c>
    </row>
    <row r="10" spans="2:3" x14ac:dyDescent="0.2">
      <c r="B10" s="3">
        <v>7</v>
      </c>
      <c r="C10" s="4" t="s">
        <v>8</v>
      </c>
    </row>
    <row r="11" spans="2:3" x14ac:dyDescent="0.2">
      <c r="B11" s="3">
        <v>8</v>
      </c>
      <c r="C11" s="4" t="s">
        <v>9</v>
      </c>
    </row>
    <row r="12" spans="2:3" x14ac:dyDescent="0.2">
      <c r="B12" s="3"/>
    </row>
    <row r="13" spans="2:3" x14ac:dyDescent="0.2">
      <c r="B13" s="2" t="s">
        <v>10</v>
      </c>
    </row>
    <row r="14" spans="2:3" x14ac:dyDescent="0.2">
      <c r="B14" s="3">
        <v>1</v>
      </c>
      <c r="C14" s="4" t="s">
        <v>11</v>
      </c>
    </row>
    <row r="15" spans="2:3" x14ac:dyDescent="0.2">
      <c r="B15" s="3">
        <v>2</v>
      </c>
      <c r="C15" s="4" t="s">
        <v>12</v>
      </c>
    </row>
    <row r="16" spans="2:3" x14ac:dyDescent="0.2">
      <c r="B16" s="3"/>
    </row>
    <row r="17" spans="2:3" x14ac:dyDescent="0.2">
      <c r="B17" s="2" t="s">
        <v>13</v>
      </c>
    </row>
    <row r="18" spans="2:3" x14ac:dyDescent="0.2">
      <c r="B18" s="3">
        <v>1</v>
      </c>
      <c r="C18" s="4" t="s">
        <v>14</v>
      </c>
    </row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showGridLines="0" zoomScale="135" workbookViewId="0">
      <pane ySplit="15" topLeftCell="A57" activePane="bottomLeft" state="frozen"/>
      <selection pane="bottomLeft" activeCell="D69" sqref="D69"/>
    </sheetView>
  </sheetViews>
  <sheetFormatPr baseColWidth="10" defaultColWidth="14.5" defaultRowHeight="15" customHeight="1" x14ac:dyDescent="0.2"/>
  <cols>
    <col min="1" max="1" width="0.83203125" customWidth="1"/>
    <col min="2" max="2" width="13.1640625" customWidth="1"/>
    <col min="3" max="9" width="8.83203125" customWidth="1"/>
    <col min="10" max="10" width="6.1640625" customWidth="1"/>
    <col min="11" max="11" width="13.1640625" customWidth="1"/>
    <col min="12" max="18" width="8.83203125" customWidth="1"/>
    <col min="19" max="19" width="5.6640625" customWidth="1"/>
    <col min="20" max="20" width="13.1640625" customWidth="1"/>
    <col min="21" max="25" width="8.83203125" customWidth="1"/>
    <col min="26" max="26" width="9" customWidth="1"/>
    <col min="27" max="27" width="8.83203125" customWidth="1"/>
  </cols>
  <sheetData>
    <row r="1" spans="1:27" ht="3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9.7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7.75" customHeight="1" x14ac:dyDescent="0.2">
      <c r="A4" s="5"/>
      <c r="B4" s="6"/>
      <c r="C4" s="6"/>
      <c r="D4" s="88" t="s">
        <v>15</v>
      </c>
      <c r="E4" s="89"/>
      <c r="F4" s="90" t="s">
        <v>16</v>
      </c>
      <c r="G4" s="89"/>
      <c r="H4" s="90" t="s">
        <v>17</v>
      </c>
      <c r="I4" s="89"/>
      <c r="J4" s="5"/>
      <c r="K4" s="91" t="s">
        <v>18</v>
      </c>
      <c r="L4" s="82"/>
      <c r="M4" s="78"/>
      <c r="N4" s="6"/>
      <c r="O4" s="5"/>
      <c r="P4" s="5"/>
      <c r="Q4" s="5"/>
      <c r="R4" s="5"/>
      <c r="S4" s="5"/>
      <c r="T4" s="6"/>
      <c r="U4" s="6"/>
      <c r="V4" s="5"/>
      <c r="W4" s="5"/>
      <c r="X4" s="5"/>
      <c r="Y4" s="5"/>
      <c r="Z4" s="5"/>
      <c r="AA4" s="5"/>
    </row>
    <row r="5" spans="1:27" ht="13.5" customHeight="1" x14ac:dyDescent="0.2">
      <c r="A5" s="5"/>
      <c r="B5" s="95" t="s">
        <v>19</v>
      </c>
      <c r="C5" s="96"/>
      <c r="D5" s="92">
        <v>8.9999999999999993E-3</v>
      </c>
      <c r="E5" s="93"/>
      <c r="F5" s="92">
        <v>0.01</v>
      </c>
      <c r="G5" s="94"/>
      <c r="H5" s="92">
        <v>0.02</v>
      </c>
      <c r="I5" s="94"/>
      <c r="J5" s="5"/>
      <c r="K5" s="5"/>
      <c r="L5" s="5"/>
      <c r="M5" s="5"/>
      <c r="N5" s="6"/>
      <c r="O5" s="5"/>
      <c r="P5" s="5"/>
      <c r="Q5" s="5"/>
      <c r="R5" s="5"/>
      <c r="S5" s="5"/>
      <c r="T5" s="6"/>
      <c r="U5" s="6"/>
      <c r="V5" s="5"/>
      <c r="W5" s="5"/>
      <c r="X5" s="5"/>
      <c r="Y5" s="5"/>
      <c r="Z5" s="5"/>
      <c r="AA5" s="5"/>
    </row>
    <row r="6" spans="1:27" ht="13.5" customHeight="1" x14ac:dyDescent="0.2">
      <c r="A6" s="5"/>
      <c r="B6" s="73" t="s">
        <v>20</v>
      </c>
      <c r="C6" s="74"/>
      <c r="D6" s="75">
        <v>0.1</v>
      </c>
      <c r="E6" s="76"/>
      <c r="F6" s="75">
        <v>0.3</v>
      </c>
      <c r="G6" s="76"/>
      <c r="H6" s="75">
        <v>0.8</v>
      </c>
      <c r="I6" s="76"/>
      <c r="J6" s="5"/>
      <c r="K6" s="5"/>
      <c r="L6" s="5"/>
      <c r="M6" s="5"/>
      <c r="N6" s="6"/>
      <c r="O6" s="5"/>
      <c r="P6" s="5"/>
      <c r="Q6" s="5"/>
      <c r="R6" s="5"/>
      <c r="S6" s="5"/>
      <c r="T6" s="6"/>
      <c r="U6" s="6"/>
      <c r="V6" s="5"/>
      <c r="W6" s="5"/>
      <c r="X6" s="5"/>
      <c r="Y6" s="5"/>
      <c r="Z6" s="5"/>
      <c r="AA6" s="5"/>
    </row>
    <row r="7" spans="1:27" ht="13.5" customHeight="1" x14ac:dyDescent="0.2">
      <c r="A7" s="5"/>
      <c r="B7" s="73" t="s">
        <v>21</v>
      </c>
      <c r="C7" s="74"/>
      <c r="D7" s="75">
        <f>D8-D6</f>
        <v>0.85</v>
      </c>
      <c r="E7" s="76"/>
      <c r="F7" s="75">
        <v>0.75</v>
      </c>
      <c r="G7" s="76"/>
      <c r="H7" s="75">
        <v>0.3</v>
      </c>
      <c r="I7" s="76"/>
      <c r="J7" s="5"/>
      <c r="K7" s="77" t="s">
        <v>22</v>
      </c>
      <c r="L7" s="78"/>
      <c r="M7" s="7">
        <v>15</v>
      </c>
      <c r="N7" s="6"/>
      <c r="O7" s="5"/>
      <c r="P7" s="5"/>
      <c r="Q7" s="5"/>
      <c r="R7" s="5"/>
      <c r="S7" s="5"/>
      <c r="T7" s="6"/>
      <c r="U7" s="6"/>
      <c r="V7" s="5"/>
      <c r="W7" s="5"/>
      <c r="X7" s="5"/>
      <c r="Y7" s="5"/>
      <c r="Z7" s="5"/>
      <c r="AA7" s="5"/>
    </row>
    <row r="8" spans="1:27" ht="13.5" customHeight="1" x14ac:dyDescent="0.2">
      <c r="A8" s="5"/>
      <c r="B8" s="73" t="s">
        <v>23</v>
      </c>
      <c r="C8" s="74"/>
      <c r="D8" s="75">
        <v>0.95</v>
      </c>
      <c r="E8" s="76"/>
      <c r="F8" s="75">
        <v>1.05</v>
      </c>
      <c r="G8" s="76"/>
      <c r="H8" s="75">
        <v>1.1000000000000001</v>
      </c>
      <c r="I8" s="76"/>
      <c r="J8" s="5"/>
      <c r="K8" s="5"/>
      <c r="L8" s="5"/>
      <c r="M8" s="5"/>
      <c r="N8" s="6"/>
      <c r="O8" s="5"/>
      <c r="P8" s="5"/>
      <c r="Q8" s="5"/>
      <c r="R8" s="5"/>
      <c r="S8" s="5"/>
      <c r="T8" s="6"/>
      <c r="U8" s="6"/>
      <c r="V8" s="5"/>
      <c r="W8" s="5"/>
      <c r="X8" s="5"/>
      <c r="Y8" s="5"/>
      <c r="Z8" s="5"/>
      <c r="AA8" s="5"/>
    </row>
    <row r="9" spans="1:27" ht="6" customHeight="1" x14ac:dyDescent="0.2">
      <c r="A9" s="5"/>
      <c r="B9" s="8"/>
      <c r="C9" s="9"/>
      <c r="D9" s="83"/>
      <c r="E9" s="76"/>
      <c r="F9" s="83"/>
      <c r="G9" s="76"/>
      <c r="H9" s="83"/>
      <c r="I9" s="76"/>
      <c r="J9" s="5"/>
      <c r="K9" s="6"/>
      <c r="L9" s="6"/>
      <c r="M9" s="6"/>
      <c r="N9" s="6"/>
      <c r="O9" s="5"/>
      <c r="P9" s="5"/>
      <c r="Q9" s="5"/>
      <c r="R9" s="5"/>
      <c r="S9" s="5"/>
      <c r="T9" s="6"/>
      <c r="U9" s="6"/>
      <c r="V9" s="5"/>
      <c r="W9" s="5"/>
      <c r="X9" s="5"/>
      <c r="Y9" s="5"/>
      <c r="Z9" s="5"/>
      <c r="AA9" s="5"/>
    </row>
    <row r="10" spans="1:27" ht="13.5" customHeight="1" x14ac:dyDescent="0.2">
      <c r="A10" s="5"/>
      <c r="B10" s="73" t="s">
        <v>24</v>
      </c>
      <c r="C10" s="74"/>
      <c r="D10" s="75">
        <v>0.05</v>
      </c>
      <c r="E10" s="76"/>
      <c r="F10" s="75">
        <v>0.5</v>
      </c>
      <c r="G10" s="76"/>
      <c r="H10" s="75">
        <v>1</v>
      </c>
      <c r="I10" s="76"/>
      <c r="J10" s="5"/>
      <c r="K10" s="77" t="s">
        <v>25</v>
      </c>
      <c r="L10" s="78"/>
      <c r="M10" s="7">
        <v>364</v>
      </c>
      <c r="N10" s="6"/>
      <c r="O10" s="5"/>
      <c r="P10" s="5"/>
      <c r="Q10" s="5"/>
      <c r="R10" s="5"/>
      <c r="S10" s="5"/>
      <c r="T10" s="6"/>
      <c r="U10" s="6"/>
      <c r="V10" s="5"/>
      <c r="W10" s="5"/>
      <c r="X10" s="5"/>
      <c r="Y10" s="5"/>
      <c r="Z10" s="5"/>
      <c r="AA10" s="5"/>
    </row>
    <row r="11" spans="1:27" ht="15" customHeight="1" x14ac:dyDescent="0.2">
      <c r="A11" s="5"/>
      <c r="B11" s="73" t="s">
        <v>26</v>
      </c>
      <c r="C11" s="74"/>
      <c r="D11" s="79">
        <v>100</v>
      </c>
      <c r="E11" s="80"/>
      <c r="F11" s="79">
        <v>100</v>
      </c>
      <c r="G11" s="80"/>
      <c r="H11" s="79">
        <v>100</v>
      </c>
      <c r="I11" s="80"/>
      <c r="J11" s="5"/>
      <c r="K11" s="5"/>
      <c r="L11" s="5"/>
      <c r="M11" s="5"/>
      <c r="N11" s="6"/>
      <c r="O11" s="5"/>
      <c r="P11" s="5"/>
      <c r="Q11" s="5"/>
      <c r="R11" s="5"/>
      <c r="S11" s="5"/>
      <c r="T11" s="6"/>
      <c r="U11" s="6"/>
      <c r="V11" s="5"/>
      <c r="W11" s="5"/>
      <c r="X11" s="5"/>
      <c r="Y11" s="5"/>
      <c r="Z11" s="5"/>
      <c r="AA11" s="5"/>
    </row>
    <row r="12" spans="1:27" ht="6" customHeight="1" x14ac:dyDescent="0.2">
      <c r="A12" s="5"/>
      <c r="B12" s="8"/>
      <c r="C12" s="9"/>
      <c r="D12" s="83"/>
      <c r="E12" s="76"/>
      <c r="F12" s="83"/>
      <c r="G12" s="76"/>
      <c r="H12" s="83"/>
      <c r="I12" s="76"/>
      <c r="J12" s="5"/>
      <c r="K12" s="6"/>
      <c r="L12" s="6"/>
      <c r="M12" s="6"/>
      <c r="N12" s="6"/>
      <c r="O12" s="5"/>
      <c r="P12" s="5"/>
      <c r="Q12" s="5"/>
      <c r="R12" s="5"/>
      <c r="S12" s="5"/>
      <c r="T12" s="6"/>
      <c r="U12" s="6"/>
      <c r="V12" s="5"/>
      <c r="W12" s="5"/>
      <c r="X12" s="5"/>
      <c r="Y12" s="5"/>
      <c r="Z12" s="5"/>
      <c r="AA12" s="5"/>
    </row>
    <row r="13" spans="1:27" ht="13.5" customHeight="1" x14ac:dyDescent="0.2">
      <c r="A13" s="5"/>
      <c r="B13" s="84" t="s">
        <v>27</v>
      </c>
      <c r="C13" s="85"/>
      <c r="D13" s="86">
        <v>1</v>
      </c>
      <c r="E13" s="87"/>
      <c r="F13" s="86">
        <v>500000</v>
      </c>
      <c r="G13" s="87"/>
      <c r="H13" s="86">
        <v>3000000</v>
      </c>
      <c r="I13" s="87"/>
      <c r="J13" s="5"/>
      <c r="K13" s="77" t="s">
        <v>28</v>
      </c>
      <c r="L13" s="97"/>
      <c r="M13" s="10">
        <v>100</v>
      </c>
      <c r="N13" s="6"/>
      <c r="O13" s="5"/>
      <c r="P13" s="5"/>
      <c r="Q13" s="5"/>
      <c r="R13" s="5"/>
      <c r="S13" s="5"/>
      <c r="T13" s="6"/>
      <c r="U13" s="6"/>
      <c r="V13" s="5"/>
      <c r="W13" s="5"/>
      <c r="X13" s="5"/>
      <c r="Y13" s="5"/>
      <c r="Z13" s="5"/>
      <c r="AA13" s="5"/>
    </row>
    <row r="14" spans="1:27" ht="9.75" customHeight="1" x14ac:dyDescent="0.2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  <c r="AA14" s="5"/>
    </row>
    <row r="15" spans="1:27" ht="12.75" customHeight="1" x14ac:dyDescent="0.2">
      <c r="A15" s="5"/>
      <c r="B15" s="6"/>
      <c r="C15" s="98" t="s">
        <v>29</v>
      </c>
      <c r="D15" s="82"/>
      <c r="E15" s="82"/>
      <c r="F15" s="82"/>
      <c r="G15" s="82"/>
      <c r="H15" s="82"/>
      <c r="I15" s="78"/>
      <c r="J15" s="6"/>
      <c r="K15" s="6"/>
      <c r="L15" s="98" t="s">
        <v>30</v>
      </c>
      <c r="M15" s="82"/>
      <c r="N15" s="82"/>
      <c r="O15" s="82"/>
      <c r="P15" s="82"/>
      <c r="Q15" s="82"/>
      <c r="R15" s="78"/>
      <c r="S15" s="6"/>
      <c r="T15" s="6"/>
      <c r="U15" s="98" t="s">
        <v>31</v>
      </c>
      <c r="V15" s="82"/>
      <c r="W15" s="82"/>
      <c r="X15" s="82"/>
      <c r="Y15" s="82"/>
      <c r="Z15" s="82"/>
      <c r="AA15" s="78"/>
    </row>
    <row r="16" spans="1:27" ht="3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5"/>
    </row>
    <row r="17" spans="1:27" ht="13.5" customHeight="1" x14ac:dyDescent="0.2">
      <c r="A17" s="5"/>
      <c r="B17" s="6"/>
      <c r="C17" s="81" t="s">
        <v>32</v>
      </c>
      <c r="D17" s="82"/>
      <c r="E17" s="82"/>
      <c r="F17" s="82"/>
      <c r="G17" s="82"/>
      <c r="H17" s="82"/>
      <c r="I17" s="78"/>
      <c r="J17" s="5"/>
      <c r="K17" s="6"/>
      <c r="L17" s="81" t="s">
        <v>32</v>
      </c>
      <c r="M17" s="82"/>
      <c r="N17" s="82"/>
      <c r="O17" s="82"/>
      <c r="P17" s="82"/>
      <c r="Q17" s="82"/>
      <c r="R17" s="78"/>
      <c r="S17" s="5"/>
      <c r="T17" s="6"/>
      <c r="U17" s="81" t="s">
        <v>32</v>
      </c>
      <c r="V17" s="82"/>
      <c r="W17" s="82"/>
      <c r="X17" s="82"/>
      <c r="Y17" s="82"/>
      <c r="Z17" s="82"/>
      <c r="AA17" s="78"/>
    </row>
    <row r="18" spans="1:27" ht="15.75" customHeight="1" x14ac:dyDescent="0.2">
      <c r="A18" s="5"/>
      <c r="B18" s="11" t="s">
        <v>33</v>
      </c>
      <c r="C18" s="12">
        <v>500</v>
      </c>
      <c r="D18" s="13">
        <v>1000</v>
      </c>
      <c r="E18" s="13">
        <v>2500</v>
      </c>
      <c r="F18" s="13">
        <v>3000</v>
      </c>
      <c r="G18" s="13">
        <v>4000</v>
      </c>
      <c r="H18" s="13">
        <v>8000</v>
      </c>
      <c r="I18" s="14">
        <v>16000</v>
      </c>
      <c r="J18" s="5"/>
      <c r="K18" s="11" t="s">
        <v>33</v>
      </c>
      <c r="L18" s="15">
        <f>$C$18</f>
        <v>500</v>
      </c>
      <c r="M18" s="16">
        <f>$D$18</f>
        <v>1000</v>
      </c>
      <c r="N18" s="16">
        <f>$E$18</f>
        <v>2500</v>
      </c>
      <c r="O18" s="16">
        <f>$F$18</f>
        <v>3000</v>
      </c>
      <c r="P18" s="16">
        <f>$G$18</f>
        <v>4000</v>
      </c>
      <c r="Q18" s="16">
        <f>$H$18</f>
        <v>8000</v>
      </c>
      <c r="R18" s="17">
        <f>$I$18</f>
        <v>16000</v>
      </c>
      <c r="S18" s="5"/>
      <c r="T18" s="11" t="s">
        <v>33</v>
      </c>
      <c r="U18" s="15">
        <f>$C$18</f>
        <v>500</v>
      </c>
      <c r="V18" s="16">
        <f>$D$18</f>
        <v>1000</v>
      </c>
      <c r="W18" s="16">
        <f>$E$18</f>
        <v>2500</v>
      </c>
      <c r="X18" s="16">
        <f>$F$18</f>
        <v>3000</v>
      </c>
      <c r="Y18" s="16">
        <f>$G$18</f>
        <v>4000</v>
      </c>
      <c r="Z18" s="16">
        <f>$H$18</f>
        <v>8000</v>
      </c>
      <c r="AA18" s="17">
        <f>$I$18</f>
        <v>16000</v>
      </c>
    </row>
    <row r="19" spans="1:27" ht="12.75" customHeight="1" x14ac:dyDescent="0.2">
      <c r="A19" s="5"/>
      <c r="B19" s="18">
        <v>100000</v>
      </c>
      <c r="C19" s="19">
        <f t="shared" ref="C19:I19" si="0">$D$11 / ($D$11 / ($D$5 * $B19^$D$6 * (C$18 * $M$10)^$D$7 / $M$10) + $D$10)</f>
        <v>2.3104671810802193</v>
      </c>
      <c r="D19" s="20">
        <f t="shared" si="0"/>
        <v>4.1607618889972864</v>
      </c>
      <c r="E19" s="20">
        <f t="shared" si="0"/>
        <v>9.0439465608717509</v>
      </c>
      <c r="F19" s="20">
        <f t="shared" si="0"/>
        <v>10.551956068301498</v>
      </c>
      <c r="G19" s="20">
        <f t="shared" si="0"/>
        <v>13.455400178266663</v>
      </c>
      <c r="H19" s="20">
        <f t="shared" si="0"/>
        <v>24.123130835842925</v>
      </c>
      <c r="I19" s="21">
        <f t="shared" si="0"/>
        <v>43.065120375035633</v>
      </c>
      <c r="J19" s="5"/>
      <c r="K19" s="22">
        <f>$B$19</f>
        <v>100000</v>
      </c>
      <c r="L19" s="23" t="s">
        <v>34</v>
      </c>
      <c r="M19" s="24" t="s">
        <v>34</v>
      </c>
      <c r="N19" s="24" t="s">
        <v>34</v>
      </c>
      <c r="O19" s="24" t="s">
        <v>34</v>
      </c>
      <c r="P19" s="24" t="s">
        <v>34</v>
      </c>
      <c r="Q19" s="24" t="s">
        <v>34</v>
      </c>
      <c r="R19" s="25" t="s">
        <v>34</v>
      </c>
      <c r="S19" s="5"/>
      <c r="T19" s="22">
        <f>$B$19</f>
        <v>100000</v>
      </c>
      <c r="U19" s="23" t="s">
        <v>34</v>
      </c>
      <c r="V19" s="24" t="s">
        <v>34</v>
      </c>
      <c r="W19" s="24" t="s">
        <v>34</v>
      </c>
      <c r="X19" s="24" t="s">
        <v>34</v>
      </c>
      <c r="Y19" s="24" t="s">
        <v>34</v>
      </c>
      <c r="Z19" s="24" t="s">
        <v>34</v>
      </c>
      <c r="AA19" s="25" t="s">
        <v>34</v>
      </c>
    </row>
    <row r="20" spans="1:27" ht="12.75" customHeight="1" x14ac:dyDescent="0.2">
      <c r="A20" s="5"/>
      <c r="B20" s="26">
        <v>200000</v>
      </c>
      <c r="C20" s="27">
        <f t="shared" ref="C20:I20" si="1">$D$11 / ($D$11 / ($D$5 * $B20^$D$6 * (C$18 * $M$10)^$D$7 / $M$10) + $D$10)</f>
        <v>2.4760921052815732</v>
      </c>
      <c r="D20" s="28">
        <f t="shared" si="1"/>
        <v>4.4587284164263608</v>
      </c>
      <c r="E20" s="28">
        <f t="shared" si="1"/>
        <v>9.6899169835647516</v>
      </c>
      <c r="F20" s="28">
        <f t="shared" si="1"/>
        <v>11.30502555890669</v>
      </c>
      <c r="G20" s="28">
        <f t="shared" si="1"/>
        <v>14.414180658696607</v>
      </c>
      <c r="H20" s="28">
        <f t="shared" si="1"/>
        <v>25.832168546734174</v>
      </c>
      <c r="I20" s="29">
        <f t="shared" si="1"/>
        <v>46.084830621530038</v>
      </c>
      <c r="J20" s="5"/>
      <c r="K20" s="30">
        <f>$B$20</f>
        <v>200000</v>
      </c>
      <c r="L20" s="31" t="s">
        <v>34</v>
      </c>
      <c r="M20" s="32" t="s">
        <v>34</v>
      </c>
      <c r="N20" s="32" t="s">
        <v>34</v>
      </c>
      <c r="O20" s="32" t="s">
        <v>34</v>
      </c>
      <c r="P20" s="32" t="s">
        <v>34</v>
      </c>
      <c r="Q20" s="32" t="s">
        <v>34</v>
      </c>
      <c r="R20" s="33" t="s">
        <v>34</v>
      </c>
      <c r="S20" s="5"/>
      <c r="T20" s="30">
        <f>$B$20</f>
        <v>200000</v>
      </c>
      <c r="U20" s="31" t="s">
        <v>34</v>
      </c>
      <c r="V20" s="32" t="s">
        <v>34</v>
      </c>
      <c r="W20" s="32" t="s">
        <v>34</v>
      </c>
      <c r="X20" s="32" t="s">
        <v>34</v>
      </c>
      <c r="Y20" s="32" t="s">
        <v>34</v>
      </c>
      <c r="Z20" s="32" t="s">
        <v>34</v>
      </c>
      <c r="AA20" s="33" t="s">
        <v>34</v>
      </c>
    </row>
    <row r="21" spans="1:27" ht="12.75" customHeight="1" x14ac:dyDescent="0.2">
      <c r="A21" s="5"/>
      <c r="B21" s="26">
        <v>300000</v>
      </c>
      <c r="C21" s="27">
        <f t="shared" ref="C21:I21" si="2">$D$11 / ($D$11 / ($D$5 * $B21^$D$6 * (C$18 * $M$10)^$D$7 / $M$10) + $D$10)</f>
        <v>2.5784200701655351</v>
      </c>
      <c r="D21" s="28">
        <f t="shared" si="2"/>
        <v>4.6428011560079332</v>
      </c>
      <c r="E21" s="28">
        <f t="shared" si="2"/>
        <v>10.088860621175396</v>
      </c>
      <c r="F21" s="28">
        <f t="shared" si="2"/>
        <v>11.770071608124367</v>
      </c>
      <c r="G21" s="28">
        <f t="shared" si="2"/>
        <v>15.006160513687526</v>
      </c>
      <c r="H21" s="28">
        <f t="shared" si="2"/>
        <v>26.886727073261223</v>
      </c>
      <c r="I21" s="29">
        <f t="shared" si="2"/>
        <v>47.94609303046505</v>
      </c>
      <c r="J21" s="5"/>
      <c r="K21" s="30">
        <f>$B$21</f>
        <v>300000</v>
      </c>
      <c r="L21" s="31" t="s">
        <v>34</v>
      </c>
      <c r="M21" s="32" t="s">
        <v>34</v>
      </c>
      <c r="N21" s="32" t="s">
        <v>34</v>
      </c>
      <c r="O21" s="32" t="s">
        <v>34</v>
      </c>
      <c r="P21" s="32" t="s">
        <v>34</v>
      </c>
      <c r="Q21" s="32" t="s">
        <v>34</v>
      </c>
      <c r="R21" s="33" t="s">
        <v>34</v>
      </c>
      <c r="S21" s="5"/>
      <c r="T21" s="30">
        <f>$B$21</f>
        <v>300000</v>
      </c>
      <c r="U21" s="31" t="s">
        <v>34</v>
      </c>
      <c r="V21" s="32" t="s">
        <v>34</v>
      </c>
      <c r="W21" s="32" t="s">
        <v>34</v>
      </c>
      <c r="X21" s="32" t="s">
        <v>34</v>
      </c>
      <c r="Y21" s="32" t="s">
        <v>34</v>
      </c>
      <c r="Z21" s="32" t="s">
        <v>34</v>
      </c>
      <c r="AA21" s="33" t="s">
        <v>34</v>
      </c>
    </row>
    <row r="22" spans="1:27" ht="12.75" customHeight="1" x14ac:dyDescent="0.2">
      <c r="A22" s="5"/>
      <c r="B22" s="26">
        <v>400000</v>
      </c>
      <c r="C22" s="27">
        <f t="shared" ref="C22:I22" si="3">$D$11 / ($D$11 / ($D$5 * $B22^$D$6 * (C$18 * $M$10)^$D$7 / $M$10) + $D$10)</f>
        <v>2.6535740156957397</v>
      </c>
      <c r="D22" s="28">
        <f t="shared" si="3"/>
        <v>4.7779822723162884</v>
      </c>
      <c r="E22" s="28">
        <f t="shared" si="3"/>
        <v>10.381785720741101</v>
      </c>
      <c r="F22" s="28">
        <f t="shared" si="3"/>
        <v>12.111512741594716</v>
      </c>
      <c r="G22" s="28">
        <f t="shared" si="3"/>
        <v>15.440749157012169</v>
      </c>
      <c r="H22" s="28">
        <f t="shared" si="3"/>
        <v>27.66059047313782</v>
      </c>
      <c r="I22" s="29">
        <f t="shared" si="3"/>
        <v>49.310946369308624</v>
      </c>
      <c r="J22" s="5"/>
      <c r="K22" s="30">
        <f>$B$22</f>
        <v>400000</v>
      </c>
      <c r="L22" s="31" t="s">
        <v>34</v>
      </c>
      <c r="M22" s="32" t="s">
        <v>34</v>
      </c>
      <c r="N22" s="32" t="s">
        <v>34</v>
      </c>
      <c r="O22" s="32" t="s">
        <v>34</v>
      </c>
      <c r="P22" s="32" t="s">
        <v>34</v>
      </c>
      <c r="Q22" s="32" t="s">
        <v>34</v>
      </c>
      <c r="R22" s="33" t="s">
        <v>34</v>
      </c>
      <c r="S22" s="5"/>
      <c r="T22" s="30">
        <f>$B$22</f>
        <v>400000</v>
      </c>
      <c r="U22" s="31" t="s">
        <v>34</v>
      </c>
      <c r="V22" s="32" t="s">
        <v>34</v>
      </c>
      <c r="W22" s="32" t="s">
        <v>34</v>
      </c>
      <c r="X22" s="32" t="s">
        <v>34</v>
      </c>
      <c r="Y22" s="32" t="s">
        <v>34</v>
      </c>
      <c r="Z22" s="32" t="s">
        <v>34</v>
      </c>
      <c r="AA22" s="33" t="s">
        <v>34</v>
      </c>
    </row>
    <row r="23" spans="1:27" ht="12.75" customHeight="1" x14ac:dyDescent="0.2">
      <c r="A23" s="5"/>
      <c r="B23" s="26">
        <v>500000</v>
      </c>
      <c r="C23" s="27">
        <f t="shared" ref="C23:I23" si="4">$D$11 / ($D$11 / ($D$5 * $B23^$D$6 * (C$18 * $M$10)^$D$7 / $M$10) + $D$10)</f>
        <v>2.7133711616682552</v>
      </c>
      <c r="D23" s="28">
        <f t="shared" si="4"/>
        <v>4.8855349450555714</v>
      </c>
      <c r="E23" s="28">
        <f t="shared" si="4"/>
        <v>10.614809261688022</v>
      </c>
      <c r="F23" s="28">
        <f t="shared" si="4"/>
        <v>12.383119093816941</v>
      </c>
      <c r="G23" s="28">
        <f t="shared" si="4"/>
        <v>15.786422301795046</v>
      </c>
      <c r="H23" s="28">
        <f t="shared" si="4"/>
        <v>28.275932305327181</v>
      </c>
      <c r="I23" s="29">
        <f t="shared" si="4"/>
        <v>50.395619009120331</v>
      </c>
      <c r="J23" s="5"/>
      <c r="K23" s="30">
        <f>$B$23</f>
        <v>500000</v>
      </c>
      <c r="L23" s="27">
        <f t="shared" ref="L23:R23" si="5">$F$11 / ($F$11 / ($F$5 * $K23^$F$6 * (L$18 * $M$10)^$F$7 / $M$10) + $F$10)</f>
        <v>11.681690860851253</v>
      </c>
      <c r="M23" s="28">
        <f t="shared" si="5"/>
        <v>18.893786768395305</v>
      </c>
      <c r="N23" s="28">
        <f t="shared" si="5"/>
        <v>34.356902954990723</v>
      </c>
      <c r="O23" s="28">
        <f t="shared" si="5"/>
        <v>38.424062871140237</v>
      </c>
      <c r="P23" s="28">
        <f t="shared" si="5"/>
        <v>45.568646649932475</v>
      </c>
      <c r="Q23" s="28">
        <f t="shared" si="5"/>
        <v>66.332766400542994</v>
      </c>
      <c r="R23" s="29">
        <f t="shared" si="5"/>
        <v>90.984098604788812</v>
      </c>
      <c r="S23" s="5"/>
      <c r="T23" s="30">
        <f>$B$23</f>
        <v>500000</v>
      </c>
      <c r="U23" s="31" t="s">
        <v>34</v>
      </c>
      <c r="V23" s="32" t="s">
        <v>34</v>
      </c>
      <c r="W23" s="32" t="s">
        <v>34</v>
      </c>
      <c r="X23" s="32" t="s">
        <v>34</v>
      </c>
      <c r="Y23" s="32" t="s">
        <v>34</v>
      </c>
      <c r="Z23" s="32" t="s">
        <v>34</v>
      </c>
      <c r="AA23" s="33" t="s">
        <v>34</v>
      </c>
    </row>
    <row r="24" spans="1:27" ht="12.75" customHeight="1" x14ac:dyDescent="0.2">
      <c r="A24" s="5"/>
      <c r="B24" s="26">
        <v>600000</v>
      </c>
      <c r="C24" s="27">
        <f t="shared" ref="C24:I24" si="6">$D$11 / ($D$11 / ($D$5 * $B24^$D$6 * (C$18 * $M$10)^$D$7 / $M$10) + $D$10)</f>
        <v>2.7632265221727379</v>
      </c>
      <c r="D24" s="28">
        <f t="shared" si="6"/>
        <v>4.9752021277514711</v>
      </c>
      <c r="E24" s="28">
        <f t="shared" si="6"/>
        <v>10.809059593637825</v>
      </c>
      <c r="F24" s="28">
        <f t="shared" si="6"/>
        <v>12.609524272388121</v>
      </c>
      <c r="G24" s="28">
        <f t="shared" si="6"/>
        <v>16.074548114531297</v>
      </c>
      <c r="H24" s="28">
        <f t="shared" si="6"/>
        <v>28.788703021393712</v>
      </c>
      <c r="I24" s="29">
        <f t="shared" si="6"/>
        <v>51.299083474428997</v>
      </c>
      <c r="J24" s="5"/>
      <c r="K24" s="30">
        <f>$B$24</f>
        <v>600000</v>
      </c>
      <c r="L24" s="27">
        <f t="shared" ref="L24:R24" si="7">$F$11 / ($F$11 / ($F$5 * $K24^$F$6 * (L$18 * $M$10)^$F$7 / $M$10) + $F$10)</f>
        <v>12.298051775862763</v>
      </c>
      <c r="M24" s="28">
        <f t="shared" si="7"/>
        <v>19.850567695648138</v>
      </c>
      <c r="N24" s="28">
        <f t="shared" si="7"/>
        <v>35.941335599183915</v>
      </c>
      <c r="O24" s="28">
        <f t="shared" si="7"/>
        <v>40.150595965950608</v>
      </c>
      <c r="P24" s="28">
        <f t="shared" si="7"/>
        <v>47.521791767600732</v>
      </c>
      <c r="Q24" s="28">
        <f t="shared" si="7"/>
        <v>68.779520541191573</v>
      </c>
      <c r="R24" s="29">
        <f t="shared" si="7"/>
        <v>93.702717069373449</v>
      </c>
      <c r="S24" s="5"/>
      <c r="T24" s="30">
        <f>$B$24</f>
        <v>600000</v>
      </c>
      <c r="U24" s="31" t="s">
        <v>34</v>
      </c>
      <c r="V24" s="32" t="s">
        <v>34</v>
      </c>
      <c r="W24" s="32" t="s">
        <v>34</v>
      </c>
      <c r="X24" s="32" t="s">
        <v>34</v>
      </c>
      <c r="Y24" s="32" t="s">
        <v>34</v>
      </c>
      <c r="Z24" s="32" t="s">
        <v>34</v>
      </c>
      <c r="AA24" s="33" t="s">
        <v>34</v>
      </c>
    </row>
    <row r="25" spans="1:27" ht="12.75" customHeight="1" x14ac:dyDescent="0.2">
      <c r="A25" s="5"/>
      <c r="B25" s="26">
        <v>700000</v>
      </c>
      <c r="C25" s="27">
        <f t="shared" ref="C25:I25" si="8">$D$11 / ($D$11 / ($D$5 * $B25^$D$6 * (C$18 * $M$10)^$D$7 / $M$10) + $D$10)</f>
        <v>2.8060916190506862</v>
      </c>
      <c r="D25" s="28">
        <f t="shared" si="8"/>
        <v>5.0522941314491066</v>
      </c>
      <c r="E25" s="28">
        <f t="shared" si="8"/>
        <v>10.976051341972427</v>
      </c>
      <c r="F25" s="28">
        <f t="shared" si="8"/>
        <v>12.804152783805495</v>
      </c>
      <c r="G25" s="28">
        <f t="shared" si="8"/>
        <v>16.322220159300084</v>
      </c>
      <c r="H25" s="28">
        <f t="shared" si="8"/>
        <v>29.229384974860675</v>
      </c>
      <c r="I25" s="29">
        <f t="shared" si="8"/>
        <v>52.075239211843268</v>
      </c>
      <c r="J25" s="5"/>
      <c r="K25" s="30">
        <f>$B$25</f>
        <v>700000</v>
      </c>
      <c r="L25" s="27">
        <f t="shared" ref="L25:R25" si="9">$F$11 / ($F$11 / ($F$5 * $K25^$F$6 * (L$18 * $M$10)^$F$7 / $M$10) + $F$10)</f>
        <v>12.842755544825064</v>
      </c>
      <c r="M25" s="28">
        <f t="shared" si="9"/>
        <v>20.692908459648397</v>
      </c>
      <c r="N25" s="28">
        <f t="shared" si="9"/>
        <v>37.325005308624839</v>
      </c>
      <c r="O25" s="28">
        <f t="shared" si="9"/>
        <v>41.655169116006881</v>
      </c>
      <c r="P25" s="28">
        <f t="shared" si="9"/>
        <v>49.217538761399133</v>
      </c>
      <c r="Q25" s="28">
        <f t="shared" si="9"/>
        <v>70.881197935328302</v>
      </c>
      <c r="R25" s="29">
        <f t="shared" si="9"/>
        <v>96.008754668432303</v>
      </c>
      <c r="S25" s="5"/>
      <c r="T25" s="30">
        <f>$B$25</f>
        <v>700000</v>
      </c>
      <c r="U25" s="31" t="s">
        <v>34</v>
      </c>
      <c r="V25" s="32" t="s">
        <v>34</v>
      </c>
      <c r="W25" s="32" t="s">
        <v>34</v>
      </c>
      <c r="X25" s="32" t="s">
        <v>34</v>
      </c>
      <c r="Y25" s="32" t="s">
        <v>34</v>
      </c>
      <c r="Z25" s="32" t="s">
        <v>34</v>
      </c>
      <c r="AA25" s="33" t="s">
        <v>34</v>
      </c>
    </row>
    <row r="26" spans="1:27" ht="12.75" customHeight="1" x14ac:dyDescent="0.2">
      <c r="A26" s="5"/>
      <c r="B26" s="26">
        <v>800000</v>
      </c>
      <c r="C26" s="27">
        <f t="shared" ref="C26:I26" si="10">$D$11 / ($D$11 / ($D$5 * $B26^$D$6 * (C$18 * $M$10)^$D$7 / $M$10) + $D$10)</f>
        <v>2.8437594051003758</v>
      </c>
      <c r="D26" s="28">
        <f t="shared" si="10"/>
        <v>5.1200366908772601</v>
      </c>
      <c r="E26" s="28">
        <f t="shared" si="10"/>
        <v>11.122778433972773</v>
      </c>
      <c r="F26" s="28">
        <f t="shared" si="10"/>
        <v>12.975158390993899</v>
      </c>
      <c r="G26" s="28">
        <f t="shared" si="10"/>
        <v>16.539820175831462</v>
      </c>
      <c r="H26" s="28">
        <f t="shared" si="10"/>
        <v>29.616488074296409</v>
      </c>
      <c r="I26" s="29">
        <f t="shared" si="10"/>
        <v>52.756804831367461</v>
      </c>
      <c r="J26" s="5"/>
      <c r="K26" s="30">
        <f>$B$26</f>
        <v>800000</v>
      </c>
      <c r="L26" s="27">
        <f t="shared" ref="L26:R26" si="11">$F$11 / ($F$11 / ($F$5 * $K26^$F$6 * (L$18 * $M$10)^$F$7 / $M$10) + $F$10)</f>
        <v>13.332679840419974</v>
      </c>
      <c r="M26" s="28">
        <f t="shared" si="11"/>
        <v>21.447981161799444</v>
      </c>
      <c r="N26" s="28">
        <f t="shared" si="11"/>
        <v>38.556472890067695</v>
      </c>
      <c r="O26" s="28">
        <f t="shared" si="11"/>
        <v>42.991745720629268</v>
      </c>
      <c r="P26" s="28">
        <f t="shared" si="11"/>
        <v>50.719043712542621</v>
      </c>
      <c r="Q26" s="28">
        <f t="shared" si="11"/>
        <v>72.72484234382614</v>
      </c>
      <c r="R26" s="29">
        <f t="shared" si="11"/>
        <v>98.00986697507777</v>
      </c>
      <c r="S26" s="5"/>
      <c r="T26" s="30">
        <f>$B$26</f>
        <v>800000</v>
      </c>
      <c r="U26" s="31" t="s">
        <v>34</v>
      </c>
      <c r="V26" s="32" t="s">
        <v>34</v>
      </c>
      <c r="W26" s="32" t="s">
        <v>34</v>
      </c>
      <c r="X26" s="32" t="s">
        <v>34</v>
      </c>
      <c r="Y26" s="32" t="s">
        <v>34</v>
      </c>
      <c r="Z26" s="32" t="s">
        <v>34</v>
      </c>
      <c r="AA26" s="33" t="s">
        <v>34</v>
      </c>
    </row>
    <row r="27" spans="1:27" ht="12.75" customHeight="1" x14ac:dyDescent="0.2">
      <c r="A27" s="5"/>
      <c r="B27" s="26">
        <v>900000</v>
      </c>
      <c r="C27" s="27">
        <f t="shared" ref="C27:I27" si="12">$D$11 / ($D$11 / ($D$5 * $B27^$D$6 * (C$18 * $M$10)^$D$7 / $M$10) + $D$10)</f>
        <v>2.8774036247773869</v>
      </c>
      <c r="D27" s="28">
        <f t="shared" si="12"/>
        <v>5.1805414523642002</v>
      </c>
      <c r="E27" s="28">
        <f t="shared" si="12"/>
        <v>11.253818930194976</v>
      </c>
      <c r="F27" s="28">
        <f t="shared" si="12"/>
        <v>13.127878233803756</v>
      </c>
      <c r="G27" s="28">
        <f t="shared" si="12"/>
        <v>16.734143353169987</v>
      </c>
      <c r="H27" s="28">
        <f t="shared" si="12"/>
        <v>29.962125704119394</v>
      </c>
      <c r="I27" s="29">
        <f t="shared" si="12"/>
        <v>53.365186129564563</v>
      </c>
      <c r="J27" s="5"/>
      <c r="K27" s="30">
        <f>$B$27</f>
        <v>900000</v>
      </c>
      <c r="L27" s="27">
        <f t="shared" ref="L27:R27" si="13">$F$11 / ($F$11 / ($F$5 * $K27^$F$6 * (L$18 * $M$10)^$F$7 / $M$10) + $F$10)</f>
        <v>13.779173374975157</v>
      </c>
      <c r="M27" s="28">
        <f t="shared" si="13"/>
        <v>22.134020126176008</v>
      </c>
      <c r="N27" s="28">
        <f t="shared" si="13"/>
        <v>39.668170114424974</v>
      </c>
      <c r="O27" s="28">
        <f t="shared" si="13"/>
        <v>44.196316366584625</v>
      </c>
      <c r="P27" s="28">
        <f t="shared" si="13"/>
        <v>52.0683225607495</v>
      </c>
      <c r="Q27" s="28">
        <f t="shared" si="13"/>
        <v>74.367900291885121</v>
      </c>
      <c r="R27" s="29">
        <f t="shared" si="13"/>
        <v>99.776350081047781</v>
      </c>
      <c r="S27" s="5"/>
      <c r="T27" s="30">
        <f>$B$27</f>
        <v>900000</v>
      </c>
      <c r="U27" s="31" t="s">
        <v>34</v>
      </c>
      <c r="V27" s="32" t="s">
        <v>34</v>
      </c>
      <c r="W27" s="32" t="s">
        <v>34</v>
      </c>
      <c r="X27" s="32" t="s">
        <v>34</v>
      </c>
      <c r="Y27" s="32" t="s">
        <v>34</v>
      </c>
      <c r="Z27" s="32" t="s">
        <v>34</v>
      </c>
      <c r="AA27" s="33" t="s">
        <v>34</v>
      </c>
    </row>
    <row r="28" spans="1:27" ht="12.75" customHeight="1" x14ac:dyDescent="0.2">
      <c r="A28" s="5"/>
      <c r="B28" s="26">
        <v>1000000</v>
      </c>
      <c r="C28" s="27">
        <f t="shared" ref="C28:I28" si="14">$D$11 / ($D$11 / ($D$5 * $B28^$D$6 * (C$18 * $M$10)^$D$7 / $M$10) + $D$10)</f>
        <v>2.9078360573959294</v>
      </c>
      <c r="D28" s="28">
        <f t="shared" si="14"/>
        <v>5.235268826291966</v>
      </c>
      <c r="E28" s="28">
        <f t="shared" si="14"/>
        <v>11.372338802359254</v>
      </c>
      <c r="F28" s="28">
        <f t="shared" si="14"/>
        <v>13.26600315345328</v>
      </c>
      <c r="G28" s="28">
        <f t="shared" si="14"/>
        <v>16.909888649004372</v>
      </c>
      <c r="H28" s="28">
        <f t="shared" si="14"/>
        <v>30.274673230419967</v>
      </c>
      <c r="I28" s="29">
        <f t="shared" si="14"/>
        <v>53.915179644594964</v>
      </c>
      <c r="J28" s="5"/>
      <c r="K28" s="30">
        <f>$B$28</f>
        <v>1000000</v>
      </c>
      <c r="L28" s="27">
        <f t="shared" ref="L28:R28" si="15">$F$11 / ($F$11 / ($F$5 * $K28^$F$6 * (L$18 * $M$10)^$F$7 / $M$10) + $F$10)</f>
        <v>14.190268634614995</v>
      </c>
      <c r="M28" s="28">
        <f t="shared" si="15"/>
        <v>22.763908096955589</v>
      </c>
      <c r="N28" s="28">
        <f t="shared" si="15"/>
        <v>40.682911508915161</v>
      </c>
      <c r="O28" s="28">
        <f t="shared" si="15"/>
        <v>45.294167889379807</v>
      </c>
      <c r="P28" s="28">
        <f t="shared" si="15"/>
        <v>53.294829069409346</v>
      </c>
      <c r="Q28" s="28">
        <f t="shared" si="15"/>
        <v>75.850356406524526</v>
      </c>
      <c r="R28" s="29">
        <f t="shared" si="15"/>
        <v>101.356674198931</v>
      </c>
      <c r="S28" s="5"/>
      <c r="T28" s="30">
        <f>$B$28</f>
        <v>1000000</v>
      </c>
      <c r="U28" s="31" t="s">
        <v>34</v>
      </c>
      <c r="V28" s="32" t="s">
        <v>34</v>
      </c>
      <c r="W28" s="32" t="s">
        <v>34</v>
      </c>
      <c r="X28" s="32" t="s">
        <v>34</v>
      </c>
      <c r="Y28" s="32" t="s">
        <v>34</v>
      </c>
      <c r="Z28" s="32" t="s">
        <v>34</v>
      </c>
      <c r="AA28" s="33" t="s">
        <v>34</v>
      </c>
    </row>
    <row r="29" spans="1:27" ht="12.75" customHeight="1" x14ac:dyDescent="0.2">
      <c r="A29" s="5"/>
      <c r="B29" s="26">
        <v>2000000</v>
      </c>
      <c r="C29" s="27">
        <f t="shared" ref="C29:I29" si="16">$D$11 / ($D$11 / ($D$5 * $B29^$D$6 * (C$18 * $M$10)^$D$7 / $M$10) + $D$10)</f>
        <v>3.1162163340377647</v>
      </c>
      <c r="D29" s="28">
        <f t="shared" si="16"/>
        <v>5.609968215029336</v>
      </c>
      <c r="E29" s="28">
        <f t="shared" si="16"/>
        <v>12.183598612998781</v>
      </c>
      <c r="F29" s="28">
        <f t="shared" si="16"/>
        <v>14.211384470389032</v>
      </c>
      <c r="G29" s="28">
        <f t="shared" si="16"/>
        <v>18.112578459928077</v>
      </c>
      <c r="H29" s="28">
        <f t="shared" si="16"/>
        <v>32.412376634991361</v>
      </c>
      <c r="I29" s="29">
        <f t="shared" si="16"/>
        <v>57.673270245944011</v>
      </c>
      <c r="J29" s="5"/>
      <c r="K29" s="30">
        <f>$B$29</f>
        <v>2000000</v>
      </c>
      <c r="L29" s="27">
        <f t="shared" ref="L29:R29" si="17">$F$11 / ($F$11 / ($F$5 * $K29^$F$6 * (L$18 * $M$10)^$F$7 / $M$10) + $F$10)</f>
        <v>17.188380401449766</v>
      </c>
      <c r="M29" s="28">
        <f t="shared" si="17"/>
        <v>27.307238932285212</v>
      </c>
      <c r="N29" s="28">
        <f t="shared" si="17"/>
        <v>47.837317595318673</v>
      </c>
      <c r="O29" s="28">
        <f t="shared" si="17"/>
        <v>52.989780827766381</v>
      </c>
      <c r="P29" s="28">
        <f t="shared" si="17"/>
        <v>61.806708073936484</v>
      </c>
      <c r="Q29" s="28">
        <f t="shared" si="17"/>
        <v>85.856404372603265</v>
      </c>
      <c r="R29" s="29">
        <f t="shared" si="17"/>
        <v>111.7001333769982</v>
      </c>
      <c r="S29" s="5"/>
      <c r="T29" s="30">
        <f>$B$29</f>
        <v>2000000</v>
      </c>
      <c r="U29" s="31" t="s">
        <v>34</v>
      </c>
      <c r="V29" s="32" t="s">
        <v>34</v>
      </c>
      <c r="W29" s="32" t="s">
        <v>34</v>
      </c>
      <c r="X29" s="32" t="s">
        <v>34</v>
      </c>
      <c r="Y29" s="32" t="s">
        <v>34</v>
      </c>
      <c r="Z29" s="32" t="s">
        <v>34</v>
      </c>
      <c r="AA29" s="33" t="s">
        <v>34</v>
      </c>
    </row>
    <row r="30" spans="1:27" ht="12.75" customHeight="1" x14ac:dyDescent="0.2">
      <c r="A30" s="5"/>
      <c r="B30" s="26">
        <v>3000000</v>
      </c>
      <c r="C30" s="27">
        <f t="shared" ref="C30:I30" si="18">$D$11 / ($D$11 / ($D$5 * $B30^$D$6 * (C$18 * $M$10)^$D$7 / $M$10) + $D$10)</f>
        <v>3.2449553525339492</v>
      </c>
      <c r="D30" s="28">
        <f t="shared" si="18"/>
        <v>5.8414292516585036</v>
      </c>
      <c r="E30" s="28">
        <f t="shared" si="18"/>
        <v>12.684555318645279</v>
      </c>
      <c r="F30" s="28">
        <f t="shared" si="18"/>
        <v>14.795097693446504</v>
      </c>
      <c r="G30" s="28">
        <f t="shared" si="18"/>
        <v>18.855006463857585</v>
      </c>
      <c r="H30" s="28">
        <f t="shared" si="18"/>
        <v>33.730972225085637</v>
      </c>
      <c r="I30" s="29">
        <f t="shared" si="18"/>
        <v>59.988194336325449</v>
      </c>
      <c r="J30" s="5"/>
      <c r="K30" s="30">
        <f>$B$30</f>
        <v>3000000</v>
      </c>
      <c r="L30" s="27">
        <f t="shared" ref="L30:R30" si="19">$F$11 / ($F$11 / ($F$5 * $K30^$F$6 * (L$18 * $M$10)^$F$7 / $M$10) + $F$10)</f>
        <v>19.198231020669361</v>
      </c>
      <c r="M30" s="28">
        <f t="shared" si="19"/>
        <v>30.30415884427617</v>
      </c>
      <c r="N30" s="28">
        <f t="shared" si="19"/>
        <v>52.403660834622116</v>
      </c>
      <c r="O30" s="28">
        <f t="shared" si="19"/>
        <v>57.860933376699847</v>
      </c>
      <c r="P30" s="28">
        <f t="shared" si="19"/>
        <v>67.118326278112619</v>
      </c>
      <c r="Q30" s="28">
        <f t="shared" si="19"/>
        <v>91.860966310185034</v>
      </c>
      <c r="R30" s="29">
        <f t="shared" si="19"/>
        <v>117.64918504819958</v>
      </c>
      <c r="S30" s="5"/>
      <c r="T30" s="30">
        <f>$B$30</f>
        <v>3000000</v>
      </c>
      <c r="U30" s="27">
        <f t="shared" ref="U30:AA30" si="20">$H$11 / ($H$11 / ($H$5 * $T30^$H$6 * (U$18 * $M$10)^$H$7 / $M$10) + $H$10)</f>
        <v>75.959854494001817</v>
      </c>
      <c r="V30" s="28">
        <f t="shared" si="20"/>
        <v>79.55034308853719</v>
      </c>
      <c r="W30" s="28">
        <f t="shared" si="20"/>
        <v>83.662273272397044</v>
      </c>
      <c r="X30" s="28">
        <f t="shared" si="20"/>
        <v>84.396196658801017</v>
      </c>
      <c r="Y30" s="28">
        <f t="shared" si="20"/>
        <v>85.499312471428595</v>
      </c>
      <c r="Z30" s="28">
        <f t="shared" si="20"/>
        <v>87.89214928325309</v>
      </c>
      <c r="AA30" s="29">
        <f t="shared" si="20"/>
        <v>89.936606163521617</v>
      </c>
    </row>
    <row r="31" spans="1:27" ht="12.75" customHeight="1" x14ac:dyDescent="0.2">
      <c r="A31" s="5"/>
      <c r="B31" s="26">
        <v>4000000</v>
      </c>
      <c r="C31" s="27">
        <f t="shared" ref="C31:I31" si="21">$D$11 / ($D$11 / ($D$5 * $B31^$D$6 * (C$18 * $M$10)^$D$7 / $M$10) + $D$10)</f>
        <v>3.3395045108221377</v>
      </c>
      <c r="D31" s="28">
        <f t="shared" si="21"/>
        <v>6.011404821952226</v>
      </c>
      <c r="E31" s="28">
        <f t="shared" si="21"/>
        <v>13.05235079841019</v>
      </c>
      <c r="F31" s="28">
        <f t="shared" si="21"/>
        <v>15.223620692648264</v>
      </c>
      <c r="G31" s="28">
        <f t="shared" si="21"/>
        <v>19.399970926381449</v>
      </c>
      <c r="H31" s="28">
        <f t="shared" si="21"/>
        <v>34.698364890555197</v>
      </c>
      <c r="I31" s="29">
        <f t="shared" si="21"/>
        <v>61.685010762791826</v>
      </c>
      <c r="J31" s="5"/>
      <c r="K31" s="30">
        <f>$B$31</f>
        <v>4000000</v>
      </c>
      <c r="L31" s="27">
        <f t="shared" ref="L31:R31" si="22">$F$11 / ($F$11 / ($F$5 * $K31^$F$6 * (L$18 * $M$10)^$F$7 / $M$10) + $F$10)</f>
        <v>20.749195925313021</v>
      </c>
      <c r="M31" s="28">
        <f t="shared" si="22"/>
        <v>32.590608775582233</v>
      </c>
      <c r="N31" s="28">
        <f t="shared" si="22"/>
        <v>55.809145947611036</v>
      </c>
      <c r="O31" s="28">
        <f t="shared" si="22"/>
        <v>61.473354698295161</v>
      </c>
      <c r="P31" s="28">
        <f t="shared" si="22"/>
        <v>71.019931867835155</v>
      </c>
      <c r="Q31" s="28">
        <f t="shared" si="22"/>
        <v>96.160042634305981</v>
      </c>
      <c r="R31" s="29">
        <f t="shared" si="22"/>
        <v>121.79584475878222</v>
      </c>
      <c r="S31" s="5"/>
      <c r="T31" s="30">
        <f>$B$31</f>
        <v>4000000</v>
      </c>
      <c r="U31" s="27">
        <f t="shared" ref="U31:AA31" si="23">$H$11 / ($H$11 / ($H$5 * $T31^$H$6 * (U$18 * $M$10)^$H$7 / $M$10) + $H$10)</f>
        <v>79.909143404959323</v>
      </c>
      <c r="V31" s="28">
        <f t="shared" si="23"/>
        <v>83.041476347116827</v>
      </c>
      <c r="W31" s="28">
        <f t="shared" si="23"/>
        <v>86.569936230147533</v>
      </c>
      <c r="X31" s="28">
        <f t="shared" si="23"/>
        <v>87.193236184842561</v>
      </c>
      <c r="Y31" s="28">
        <f t="shared" si="23"/>
        <v>88.126433789989036</v>
      </c>
      <c r="Z31" s="28">
        <f t="shared" si="23"/>
        <v>90.135770677935724</v>
      </c>
      <c r="AA31" s="29">
        <f t="shared" si="23"/>
        <v>91.836570572419134</v>
      </c>
    </row>
    <row r="32" spans="1:27" ht="13.5" customHeight="1" x14ac:dyDescent="0.2">
      <c r="A32" s="5"/>
      <c r="B32" s="34">
        <v>5000000</v>
      </c>
      <c r="C32" s="35">
        <f t="shared" ref="C32:I32" si="24">$D$11 / ($D$11 / ($D$5 * $B32^$D$6 * (C$18 * $M$10)^$D$7 / $M$10) + $D$10)</f>
        <v>3.4147323785910286</v>
      </c>
      <c r="D32" s="36">
        <f t="shared" si="24"/>
        <v>6.1466363783827882</v>
      </c>
      <c r="E32" s="36">
        <f t="shared" si="24"/>
        <v>13.344914247080167</v>
      </c>
      <c r="F32" s="36">
        <f t="shared" si="24"/>
        <v>15.56447108988359</v>
      </c>
      <c r="G32" s="36">
        <f t="shared" si="24"/>
        <v>19.833393640330137</v>
      </c>
      <c r="H32" s="36">
        <f t="shared" si="24"/>
        <v>35.467454764862964</v>
      </c>
      <c r="I32" s="37">
        <f t="shared" si="24"/>
        <v>63.033075366561448</v>
      </c>
      <c r="J32" s="5"/>
      <c r="K32" s="38">
        <f>$B$32</f>
        <v>5000000</v>
      </c>
      <c r="L32" s="35">
        <f t="shared" ref="L32:R32" si="25">$F$11 / ($F$11 / ($F$5 * $K32^$F$6 * (L$18 * $M$10)^$F$7 / $M$10) + $F$10)</f>
        <v>22.027538550324593</v>
      </c>
      <c r="M32" s="36">
        <f t="shared" si="25"/>
        <v>34.4582489584594</v>
      </c>
      <c r="N32" s="36">
        <f t="shared" si="25"/>
        <v>58.542059529593274</v>
      </c>
      <c r="O32" s="36">
        <f t="shared" si="25"/>
        <v>64.35983380869834</v>
      </c>
      <c r="P32" s="36">
        <f t="shared" si="25"/>
        <v>74.114841510098898</v>
      </c>
      <c r="Q32" s="36">
        <f t="shared" si="25"/>
        <v>99.505310893892855</v>
      </c>
      <c r="R32" s="37">
        <f t="shared" si="25"/>
        <v>124.95972530987824</v>
      </c>
      <c r="S32" s="5"/>
      <c r="T32" s="38">
        <f>$B$32</f>
        <v>5000000</v>
      </c>
      <c r="U32" s="35">
        <f t="shared" ref="U32:AA32" si="26">$H$11 / ($H$11 / ($H$5 * $T32^$H$6 * (U$18 * $M$10)^$H$7 / $M$10) + $H$10)</f>
        <v>82.622995803238609</v>
      </c>
      <c r="V32" s="36">
        <f t="shared" si="26"/>
        <v>85.409472053696106</v>
      </c>
      <c r="W32" s="36">
        <f t="shared" si="26"/>
        <v>88.513388474646007</v>
      </c>
      <c r="X32" s="36">
        <f t="shared" si="26"/>
        <v>89.057891839137241</v>
      </c>
      <c r="Y32" s="36">
        <f t="shared" si="26"/>
        <v>89.87100052342376</v>
      </c>
      <c r="Z32" s="36">
        <f t="shared" si="26"/>
        <v>91.613204601925503</v>
      </c>
      <c r="AA32" s="37">
        <f t="shared" si="26"/>
        <v>93.07882445900114</v>
      </c>
    </row>
    <row r="33" spans="1:27" ht="12.75" customHeight="1" x14ac:dyDescent="0.2">
      <c r="A33" s="5"/>
      <c r="B33" s="6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6"/>
      <c r="Z33" s="6"/>
      <c r="AA33" s="6"/>
    </row>
    <row r="34" spans="1:27" ht="12.75" customHeight="1" x14ac:dyDescent="0.2">
      <c r="A34" s="5"/>
      <c r="B34" s="6"/>
      <c r="C34" s="81" t="s">
        <v>35</v>
      </c>
      <c r="D34" s="82"/>
      <c r="E34" s="82"/>
      <c r="F34" s="82"/>
      <c r="G34" s="82"/>
      <c r="H34" s="82"/>
      <c r="I34" s="78"/>
      <c r="J34" s="5"/>
      <c r="K34" s="6"/>
      <c r="L34" s="81" t="s">
        <v>35</v>
      </c>
      <c r="M34" s="82"/>
      <c r="N34" s="82"/>
      <c r="O34" s="82"/>
      <c r="P34" s="82"/>
      <c r="Q34" s="82"/>
      <c r="R34" s="78"/>
      <c r="S34" s="5"/>
      <c r="T34" s="6"/>
      <c r="U34" s="81" t="s">
        <v>35</v>
      </c>
      <c r="V34" s="82"/>
      <c r="W34" s="82"/>
      <c r="X34" s="82"/>
      <c r="Y34" s="82"/>
      <c r="Z34" s="82"/>
      <c r="AA34" s="78"/>
    </row>
    <row r="35" spans="1:27" ht="15" customHeight="1" x14ac:dyDescent="0.2">
      <c r="A35" s="5"/>
      <c r="B35" s="11" t="s">
        <v>33</v>
      </c>
      <c r="C35" s="15">
        <f>$C$18</f>
        <v>500</v>
      </c>
      <c r="D35" s="16">
        <f>$D$18</f>
        <v>1000</v>
      </c>
      <c r="E35" s="16">
        <f>$E$18</f>
        <v>2500</v>
      </c>
      <c r="F35" s="16">
        <f>$F$18</f>
        <v>3000</v>
      </c>
      <c r="G35" s="16">
        <f>$G$18</f>
        <v>4000</v>
      </c>
      <c r="H35" s="16">
        <f>$H$18</f>
        <v>8000</v>
      </c>
      <c r="I35" s="17">
        <f>$I$18</f>
        <v>16000</v>
      </c>
      <c r="J35" s="5"/>
      <c r="K35" s="11" t="s">
        <v>33</v>
      </c>
      <c r="L35" s="15">
        <f>$C$18</f>
        <v>500</v>
      </c>
      <c r="M35" s="16">
        <f>$D$18</f>
        <v>1000</v>
      </c>
      <c r="N35" s="16">
        <f>$E$18</f>
        <v>2500</v>
      </c>
      <c r="O35" s="16">
        <f>$F$18</f>
        <v>3000</v>
      </c>
      <c r="P35" s="16">
        <f>$G$18</f>
        <v>4000</v>
      </c>
      <c r="Q35" s="16">
        <f>$H$18</f>
        <v>8000</v>
      </c>
      <c r="R35" s="17">
        <f>$I$18</f>
        <v>16000</v>
      </c>
      <c r="S35" s="5"/>
      <c r="T35" s="11" t="s">
        <v>33</v>
      </c>
      <c r="U35" s="15">
        <f>$C$18</f>
        <v>500</v>
      </c>
      <c r="V35" s="16">
        <f>$D$18</f>
        <v>1000</v>
      </c>
      <c r="W35" s="16">
        <f>$E$18</f>
        <v>2500</v>
      </c>
      <c r="X35" s="16">
        <f>$F$18</f>
        <v>3000</v>
      </c>
      <c r="Y35" s="16">
        <f>$G$18</f>
        <v>4000</v>
      </c>
      <c r="Z35" s="16">
        <f>$H$18</f>
        <v>8000</v>
      </c>
      <c r="AA35" s="17">
        <f>$I$18</f>
        <v>16000</v>
      </c>
    </row>
    <row r="36" spans="1:27" ht="12.75" customHeight="1" x14ac:dyDescent="0.2">
      <c r="A36" s="5"/>
      <c r="B36" s="22">
        <f>$B$19</f>
        <v>100000</v>
      </c>
      <c r="C36" s="39">
        <f t="shared" ref="C36:I36" si="27">(C$35 + $B36 / $M$7 / $M$10) / C19</f>
        <v>224.33342596655669</v>
      </c>
      <c r="D36" s="40">
        <f t="shared" si="27"/>
        <v>244.74244032273253</v>
      </c>
      <c r="E36" s="40">
        <f t="shared" si="27"/>
        <v>278.45310687818534</v>
      </c>
      <c r="F36" s="40">
        <f t="shared" si="27"/>
        <v>286.04317519688681</v>
      </c>
      <c r="G36" s="40">
        <f t="shared" si="27"/>
        <v>298.63957705289607</v>
      </c>
      <c r="H36" s="40">
        <f t="shared" si="27"/>
        <v>332.39114246319747</v>
      </c>
      <c r="I36" s="41">
        <f t="shared" si="27"/>
        <v>371.95565410750964</v>
      </c>
      <c r="J36" s="5"/>
      <c r="K36" s="22">
        <f>$B$19</f>
        <v>100000</v>
      </c>
      <c r="L36" s="42" t="s">
        <v>34</v>
      </c>
      <c r="M36" s="43" t="s">
        <v>34</v>
      </c>
      <c r="N36" s="43" t="s">
        <v>34</v>
      </c>
      <c r="O36" s="43" t="s">
        <v>34</v>
      </c>
      <c r="P36" s="43" t="s">
        <v>34</v>
      </c>
      <c r="Q36" s="43" t="s">
        <v>34</v>
      </c>
      <c r="R36" s="44" t="s">
        <v>34</v>
      </c>
      <c r="S36" s="5"/>
      <c r="T36" s="22">
        <f>$B$19</f>
        <v>100000</v>
      </c>
      <c r="U36" s="42" t="s">
        <v>34</v>
      </c>
      <c r="V36" s="43" t="s">
        <v>34</v>
      </c>
      <c r="W36" s="43" t="s">
        <v>34</v>
      </c>
      <c r="X36" s="43" t="s">
        <v>34</v>
      </c>
      <c r="Y36" s="43" t="s">
        <v>34</v>
      </c>
      <c r="Z36" s="43" t="s">
        <v>34</v>
      </c>
      <c r="AA36" s="44" t="s">
        <v>34</v>
      </c>
    </row>
    <row r="37" spans="1:27" ht="12.75" customHeight="1" x14ac:dyDescent="0.2">
      <c r="A37" s="5"/>
      <c r="B37" s="30">
        <f>$B$20</f>
        <v>200000</v>
      </c>
      <c r="C37" s="45">
        <f t="shared" ref="C37:I37" si="28">(C$35 + $B37 / $M$7 / $M$10) / C20</f>
        <v>216.72458608683817</v>
      </c>
      <c r="D37" s="46">
        <f t="shared" si="28"/>
        <v>232.49454548767699</v>
      </c>
      <c r="E37" s="46">
        <f t="shared" si="28"/>
        <v>261.78036828720639</v>
      </c>
      <c r="F37" s="46">
        <f t="shared" si="28"/>
        <v>268.60886079444737</v>
      </c>
      <c r="G37" s="46">
        <f t="shared" si="28"/>
        <v>280.04575023794979</v>
      </c>
      <c r="H37" s="46">
        <f t="shared" si="28"/>
        <v>311.10938371629919</v>
      </c>
      <c r="I37" s="47">
        <f t="shared" si="28"/>
        <v>347.98066566263998</v>
      </c>
      <c r="J37" s="5"/>
      <c r="K37" s="30">
        <f>$B$20</f>
        <v>200000</v>
      </c>
      <c r="L37" s="48" t="s">
        <v>34</v>
      </c>
      <c r="M37" s="49" t="s">
        <v>34</v>
      </c>
      <c r="N37" s="49" t="s">
        <v>34</v>
      </c>
      <c r="O37" s="49" t="s">
        <v>34</v>
      </c>
      <c r="P37" s="49" t="s">
        <v>34</v>
      </c>
      <c r="Q37" s="49" t="s">
        <v>34</v>
      </c>
      <c r="R37" s="50" t="s">
        <v>34</v>
      </c>
      <c r="S37" s="5"/>
      <c r="T37" s="30">
        <f>$B$20</f>
        <v>200000</v>
      </c>
      <c r="U37" s="48" t="s">
        <v>34</v>
      </c>
      <c r="V37" s="49" t="s">
        <v>34</v>
      </c>
      <c r="W37" s="49" t="s">
        <v>34</v>
      </c>
      <c r="X37" s="49" t="s">
        <v>34</v>
      </c>
      <c r="Y37" s="49" t="s">
        <v>34</v>
      </c>
      <c r="Z37" s="49" t="s">
        <v>34</v>
      </c>
      <c r="AA37" s="50" t="s">
        <v>34</v>
      </c>
    </row>
    <row r="38" spans="1:27" ht="12.75" customHeight="1" x14ac:dyDescent="0.2">
      <c r="A38" s="5"/>
      <c r="B38" s="30">
        <f>$B$21</f>
        <v>300000</v>
      </c>
      <c r="C38" s="45">
        <f t="shared" ref="C38:I38" si="29">(C$35 + $B38 / $M$7 / $M$10) / C21</f>
        <v>215.2267822323565</v>
      </c>
      <c r="D38" s="46">
        <f t="shared" si="29"/>
        <v>227.22167491061344</v>
      </c>
      <c r="E38" s="46">
        <f t="shared" si="29"/>
        <v>253.24416213883552</v>
      </c>
      <c r="F38" s="46">
        <f t="shared" si="29"/>
        <v>259.55195147974797</v>
      </c>
      <c r="G38" s="46">
        <f t="shared" si="29"/>
        <v>270.21869126659209</v>
      </c>
      <c r="H38" s="46">
        <f t="shared" si="29"/>
        <v>299.58815861063562</v>
      </c>
      <c r="I38" s="47">
        <f t="shared" si="29"/>
        <v>334.85408383001527</v>
      </c>
      <c r="J38" s="5"/>
      <c r="K38" s="30">
        <f>$B$21</f>
        <v>300000</v>
      </c>
      <c r="L38" s="48" t="s">
        <v>34</v>
      </c>
      <c r="M38" s="49" t="s">
        <v>34</v>
      </c>
      <c r="N38" s="49" t="s">
        <v>34</v>
      </c>
      <c r="O38" s="49" t="s">
        <v>34</v>
      </c>
      <c r="P38" s="49" t="s">
        <v>34</v>
      </c>
      <c r="Q38" s="49" t="s">
        <v>34</v>
      </c>
      <c r="R38" s="50" t="s">
        <v>34</v>
      </c>
      <c r="S38" s="5"/>
      <c r="T38" s="30">
        <f>$B$21</f>
        <v>300000</v>
      </c>
      <c r="U38" s="48" t="s">
        <v>34</v>
      </c>
      <c r="V38" s="49" t="s">
        <v>34</v>
      </c>
      <c r="W38" s="49" t="s">
        <v>34</v>
      </c>
      <c r="X38" s="49" t="s">
        <v>34</v>
      </c>
      <c r="Y38" s="49" t="s">
        <v>34</v>
      </c>
      <c r="Z38" s="49" t="s">
        <v>34</v>
      </c>
      <c r="AA38" s="50" t="s">
        <v>34</v>
      </c>
    </row>
    <row r="39" spans="1:27" ht="12.75" customHeight="1" x14ac:dyDescent="0.2">
      <c r="A39" s="5"/>
      <c r="B39" s="30">
        <f>$B$22</f>
        <v>400000</v>
      </c>
      <c r="C39" s="45">
        <f t="shared" ref="C39:I39" si="30">(C$35 + $B39 / $M$7 / $M$10) / C22</f>
        <v>216.03319518101716</v>
      </c>
      <c r="D39" s="46">
        <f t="shared" si="30"/>
        <v>224.62621501937349</v>
      </c>
      <c r="E39" s="46">
        <f t="shared" si="30"/>
        <v>247.86295368427056</v>
      </c>
      <c r="F39" s="46">
        <f t="shared" si="30"/>
        <v>253.74700409681597</v>
      </c>
      <c r="G39" s="46">
        <f t="shared" si="30"/>
        <v>263.79938122434089</v>
      </c>
      <c r="H39" s="46">
        <f t="shared" si="30"/>
        <v>291.86868158509856</v>
      </c>
      <c r="I39" s="47">
        <f t="shared" si="30"/>
        <v>325.95724188461628</v>
      </c>
      <c r="J39" s="5"/>
      <c r="K39" s="30">
        <f>$B$22</f>
        <v>400000</v>
      </c>
      <c r="L39" s="48" t="s">
        <v>34</v>
      </c>
      <c r="M39" s="49" t="s">
        <v>34</v>
      </c>
      <c r="N39" s="49" t="s">
        <v>34</v>
      </c>
      <c r="O39" s="49" t="s">
        <v>34</v>
      </c>
      <c r="P39" s="49" t="s">
        <v>34</v>
      </c>
      <c r="Q39" s="49" t="s">
        <v>34</v>
      </c>
      <c r="R39" s="50" t="s">
        <v>34</v>
      </c>
      <c r="S39" s="5"/>
      <c r="T39" s="30">
        <f>$B$22</f>
        <v>400000</v>
      </c>
      <c r="U39" s="48" t="s">
        <v>34</v>
      </c>
      <c r="V39" s="49" t="s">
        <v>34</v>
      </c>
      <c r="W39" s="49" t="s">
        <v>34</v>
      </c>
      <c r="X39" s="49" t="s">
        <v>34</v>
      </c>
      <c r="Y39" s="49" t="s">
        <v>34</v>
      </c>
      <c r="Z39" s="49" t="s">
        <v>34</v>
      </c>
      <c r="AA39" s="50" t="s">
        <v>34</v>
      </c>
    </row>
    <row r="40" spans="1:27" ht="12.75" customHeight="1" x14ac:dyDescent="0.2">
      <c r="A40" s="5"/>
      <c r="B40" s="30">
        <f>$B$23</f>
        <v>500000</v>
      </c>
      <c r="C40" s="45">
        <f t="shared" ref="C40:I40" si="31">(C$35 + $B40 / $M$7 / $M$10) / C23</f>
        <v>218.02217843701669</v>
      </c>
      <c r="D40" s="46">
        <f t="shared" si="31"/>
        <v>223.43000384836574</v>
      </c>
      <c r="E40" s="46">
        <f t="shared" si="31"/>
        <v>244.14711820860038</v>
      </c>
      <c r="F40" s="46">
        <f t="shared" si="31"/>
        <v>249.66045050142148</v>
      </c>
      <c r="G40" s="46">
        <f t="shared" si="31"/>
        <v>259.18317737577854</v>
      </c>
      <c r="H40" s="46">
        <f t="shared" si="31"/>
        <v>286.16474973136923</v>
      </c>
      <c r="I40" s="47">
        <f t="shared" si="31"/>
        <v>319.30503896902081</v>
      </c>
      <c r="J40" s="5"/>
      <c r="K40" s="30">
        <f>$B$23</f>
        <v>500000</v>
      </c>
      <c r="L40" s="45">
        <f t="shared" ref="L40:R40" si="32">(L$35 + $K40 / $M$7 / $M$10) / L23</f>
        <v>50.641221259983176</v>
      </c>
      <c r="M40" s="46">
        <f t="shared" si="32"/>
        <v>57.77428870961063</v>
      </c>
      <c r="N40" s="46">
        <f t="shared" si="32"/>
        <v>75.430986750179017</v>
      </c>
      <c r="O40" s="46">
        <f t="shared" si="32"/>
        <v>80.459349182908227</v>
      </c>
      <c r="P40" s="46">
        <f t="shared" si="32"/>
        <v>89.789260651241094</v>
      </c>
      <c r="Q40" s="46">
        <f t="shared" si="32"/>
        <v>121.98458666287216</v>
      </c>
      <c r="R40" s="47">
        <f t="shared" si="32"/>
        <v>176.86140038022134</v>
      </c>
      <c r="S40" s="5"/>
      <c r="T40" s="30">
        <f>$B$23</f>
        <v>500000</v>
      </c>
      <c r="U40" s="48" t="s">
        <v>34</v>
      </c>
      <c r="V40" s="49" t="s">
        <v>34</v>
      </c>
      <c r="W40" s="49" t="s">
        <v>34</v>
      </c>
      <c r="X40" s="49" t="s">
        <v>34</v>
      </c>
      <c r="Y40" s="49" t="s">
        <v>34</v>
      </c>
      <c r="Z40" s="49" t="s">
        <v>34</v>
      </c>
      <c r="AA40" s="50" t="s">
        <v>34</v>
      </c>
    </row>
    <row r="41" spans="1:27" ht="12.75" customHeight="1" x14ac:dyDescent="0.2">
      <c r="A41" s="5"/>
      <c r="B41" s="30">
        <f>$B$24</f>
        <v>600000</v>
      </c>
      <c r="C41" s="45">
        <f t="shared" ref="C41:I41" si="33">(C$35 + $B41 / $M$7 / $M$10) / C24</f>
        <v>220.71665315753791</v>
      </c>
      <c r="D41" s="46">
        <f t="shared" si="33"/>
        <v>223.08442579632873</v>
      </c>
      <c r="E41" s="46">
        <f t="shared" si="33"/>
        <v>241.4539477075584</v>
      </c>
      <c r="F41" s="46">
        <f t="shared" si="33"/>
        <v>246.63024890637897</v>
      </c>
      <c r="G41" s="46">
        <f t="shared" si="33"/>
        <v>255.67686759261326</v>
      </c>
      <c r="H41" s="46">
        <f t="shared" si="33"/>
        <v>281.7039066978258</v>
      </c>
      <c r="I41" s="47">
        <f t="shared" si="33"/>
        <v>314.03855622333663</v>
      </c>
      <c r="J41" s="5"/>
      <c r="K41" s="30">
        <f>$B$24</f>
        <v>600000</v>
      </c>
      <c r="L41" s="45">
        <f t="shared" ref="L41:R41" si="34">(L$35 + $K41 / $M$7 / $M$10) / L24</f>
        <v>49.592416832000481</v>
      </c>
      <c r="M41" s="46">
        <f t="shared" si="34"/>
        <v>55.91226039008609</v>
      </c>
      <c r="N41" s="46">
        <f t="shared" si="34"/>
        <v>72.615278936639456</v>
      </c>
      <c r="O41" s="46">
        <f t="shared" si="34"/>
        <v>77.455640073871564</v>
      </c>
      <c r="P41" s="46">
        <f t="shared" si="34"/>
        <v>86.484325548771466</v>
      </c>
      <c r="Q41" s="46">
        <f t="shared" si="34"/>
        <v>117.9114080190942</v>
      </c>
      <c r="R41" s="47">
        <f t="shared" si="34"/>
        <v>171.92553870090066</v>
      </c>
      <c r="S41" s="5"/>
      <c r="T41" s="30">
        <f>$B$24</f>
        <v>600000</v>
      </c>
      <c r="U41" s="48" t="s">
        <v>34</v>
      </c>
      <c r="V41" s="49" t="s">
        <v>34</v>
      </c>
      <c r="W41" s="49" t="s">
        <v>34</v>
      </c>
      <c r="X41" s="49" t="s">
        <v>34</v>
      </c>
      <c r="Y41" s="49" t="s">
        <v>34</v>
      </c>
      <c r="Z41" s="49" t="s">
        <v>34</v>
      </c>
      <c r="AA41" s="50" t="s">
        <v>34</v>
      </c>
    </row>
    <row r="42" spans="1:27" ht="12.75" customHeight="1" x14ac:dyDescent="0.2">
      <c r="A42" s="5"/>
      <c r="B42" s="30">
        <f>$B$25</f>
        <v>700000</v>
      </c>
      <c r="C42" s="45">
        <f t="shared" ref="C42:I42" si="35">(C$35 + $B42 / $M$7 / $M$10) / C25</f>
        <v>223.87192347541841</v>
      </c>
      <c r="D42" s="46">
        <f t="shared" si="35"/>
        <v>223.3055120806149</v>
      </c>
      <c r="E42" s="46">
        <f t="shared" si="35"/>
        <v>239.44905561391374</v>
      </c>
      <c r="F42" s="46">
        <f t="shared" si="35"/>
        <v>244.31176205282682</v>
      </c>
      <c r="G42" s="46">
        <f t="shared" si="35"/>
        <v>252.91933866318774</v>
      </c>
      <c r="H42" s="46">
        <f t="shared" si="35"/>
        <v>278.0833443877097</v>
      </c>
      <c r="I42" s="47">
        <f t="shared" si="35"/>
        <v>309.70966955322513</v>
      </c>
      <c r="J42" s="5"/>
      <c r="K42" s="30">
        <f>$B$25</f>
        <v>700000</v>
      </c>
      <c r="L42" s="45">
        <f t="shared" ref="L42:R42" si="36">(L$35 + $K42 / $M$7 / $M$10) / L25</f>
        <v>48.915135541784949</v>
      </c>
      <c r="M42" s="46">
        <f t="shared" si="36"/>
        <v>54.521341473343476</v>
      </c>
      <c r="N42" s="46">
        <f t="shared" si="36"/>
        <v>70.41405905970008</v>
      </c>
      <c r="O42" s="46">
        <f t="shared" si="36"/>
        <v>75.097645612559745</v>
      </c>
      <c r="P42" s="46">
        <f t="shared" si="36"/>
        <v>83.876708021061006</v>
      </c>
      <c r="Q42" s="46">
        <f t="shared" si="36"/>
        <v>114.67364216419236</v>
      </c>
      <c r="R42" s="47">
        <f t="shared" si="36"/>
        <v>167.98681728457089</v>
      </c>
      <c r="S42" s="5"/>
      <c r="T42" s="30">
        <f>$B$25</f>
        <v>700000</v>
      </c>
      <c r="U42" s="48" t="s">
        <v>34</v>
      </c>
      <c r="V42" s="49" t="s">
        <v>34</v>
      </c>
      <c r="W42" s="49" t="s">
        <v>34</v>
      </c>
      <c r="X42" s="49" t="s">
        <v>34</v>
      </c>
      <c r="Y42" s="49" t="s">
        <v>34</v>
      </c>
      <c r="Z42" s="49" t="s">
        <v>34</v>
      </c>
      <c r="AA42" s="50" t="s">
        <v>34</v>
      </c>
    </row>
    <row r="43" spans="1:27" ht="12.75" customHeight="1" x14ac:dyDescent="0.2">
      <c r="A43" s="5"/>
      <c r="B43" s="30">
        <f>$B$26</f>
        <v>800000</v>
      </c>
      <c r="C43" s="45">
        <f t="shared" ref="C43:I43" si="37">(C$35 + $B43 / $M$7 / $M$10) / C26</f>
        <v>227.34699192927204</v>
      </c>
      <c r="D43" s="46">
        <f t="shared" si="37"/>
        <v>223.92811140650306</v>
      </c>
      <c r="E43" s="46">
        <f t="shared" si="37"/>
        <v>237.93696532125176</v>
      </c>
      <c r="F43" s="46">
        <f t="shared" si="37"/>
        <v>242.50340933827496</v>
      </c>
      <c r="G43" s="46">
        <f t="shared" si="37"/>
        <v>250.69922782952503</v>
      </c>
      <c r="H43" s="46">
        <f t="shared" si="37"/>
        <v>275.06705474611476</v>
      </c>
      <c r="I43" s="47">
        <f t="shared" si="37"/>
        <v>306.0556869986932</v>
      </c>
      <c r="J43" s="5"/>
      <c r="K43" s="30">
        <f>$B$26</f>
        <v>800000</v>
      </c>
      <c r="L43" s="45">
        <f t="shared" ref="L43:R43" si="38">(L$35 + $K43 / $M$7 / $M$10) / L26</f>
        <v>48.491387647374978</v>
      </c>
      <c r="M43" s="46">
        <f t="shared" si="38"/>
        <v>53.455853857340657</v>
      </c>
      <c r="N43" s="46">
        <f t="shared" si="38"/>
        <v>68.640099784695323</v>
      </c>
      <c r="O43" s="46">
        <f t="shared" si="38"/>
        <v>73.188936475550292</v>
      </c>
      <c r="P43" s="46">
        <f t="shared" si="38"/>
        <v>81.754698886302705</v>
      </c>
      <c r="Q43" s="46">
        <f t="shared" si="38"/>
        <v>112.01839541989371</v>
      </c>
      <c r="R43" s="47">
        <f t="shared" si="38"/>
        <v>164.74382268701507</v>
      </c>
      <c r="S43" s="5"/>
      <c r="T43" s="30">
        <f>$B$26</f>
        <v>800000</v>
      </c>
      <c r="U43" s="48" t="s">
        <v>34</v>
      </c>
      <c r="V43" s="49" t="s">
        <v>34</v>
      </c>
      <c r="W43" s="49" t="s">
        <v>34</v>
      </c>
      <c r="X43" s="49" t="s">
        <v>34</v>
      </c>
      <c r="Y43" s="49" t="s">
        <v>34</v>
      </c>
      <c r="Z43" s="49" t="s">
        <v>34</v>
      </c>
      <c r="AA43" s="50" t="s">
        <v>34</v>
      </c>
    </row>
    <row r="44" spans="1:27" ht="12.75" customHeight="1" x14ac:dyDescent="0.2">
      <c r="A44" s="5"/>
      <c r="B44" s="30">
        <f>$B$27</f>
        <v>900000</v>
      </c>
      <c r="C44" s="45">
        <f t="shared" ref="C44:I44" si="39">(C$35 + $B44 / $M$7 / $M$10) / C27</f>
        <v>231.05384281518741</v>
      </c>
      <c r="D44" s="46">
        <f t="shared" si="39"/>
        <v>224.84815063174119</v>
      </c>
      <c r="E44" s="46">
        <f t="shared" si="39"/>
        <v>236.79385472296698</v>
      </c>
      <c r="F44" s="46">
        <f t="shared" si="39"/>
        <v>241.07743143791831</v>
      </c>
      <c r="G44" s="46">
        <f t="shared" si="39"/>
        <v>248.88248396929205</v>
      </c>
      <c r="H44" s="46">
        <f t="shared" si="39"/>
        <v>272.5052035848247</v>
      </c>
      <c r="I44" s="47">
        <f t="shared" si="39"/>
        <v>302.90974954324707</v>
      </c>
      <c r="J44" s="5"/>
      <c r="K44" s="30">
        <f>$B$27</f>
        <v>900000</v>
      </c>
      <c r="L44" s="45">
        <f t="shared" ref="L44:R44" si="40">(L$35 + $K44 / $M$7 / $M$10) / L27</f>
        <v>48.249277858902296</v>
      </c>
      <c r="M44" s="46">
        <f t="shared" si="40"/>
        <v>52.626461808337034</v>
      </c>
      <c r="N44" s="46">
        <f t="shared" si="40"/>
        <v>67.178172251160177</v>
      </c>
      <c r="O44" s="46">
        <f t="shared" si="40"/>
        <v>71.608573406538298</v>
      </c>
      <c r="P44" s="46">
        <f t="shared" si="40"/>
        <v>79.987888220826406</v>
      </c>
      <c r="Q44" s="46">
        <f t="shared" si="40"/>
        <v>109.78977667500578</v>
      </c>
      <c r="R44" s="47">
        <f t="shared" si="40"/>
        <v>162.01068842170071</v>
      </c>
      <c r="S44" s="5"/>
      <c r="T44" s="30">
        <f>$B$27</f>
        <v>900000</v>
      </c>
      <c r="U44" s="48" t="s">
        <v>34</v>
      </c>
      <c r="V44" s="49" t="s">
        <v>34</v>
      </c>
      <c r="W44" s="49" t="s">
        <v>34</v>
      </c>
      <c r="X44" s="49" t="s">
        <v>34</v>
      </c>
      <c r="Y44" s="49" t="s">
        <v>34</v>
      </c>
      <c r="Z44" s="49" t="s">
        <v>34</v>
      </c>
      <c r="AA44" s="50" t="s">
        <v>34</v>
      </c>
    </row>
    <row r="45" spans="1:27" ht="12.75" customHeight="1" x14ac:dyDescent="0.2">
      <c r="A45" s="5"/>
      <c r="B45" s="30">
        <f>$B$28</f>
        <v>1000000</v>
      </c>
      <c r="C45" s="45">
        <f t="shared" ref="C45:I45" si="41">(C$35 + $B45 / $M$7 / $M$10) / C28</f>
        <v>234.93421556989992</v>
      </c>
      <c r="D45" s="46">
        <f t="shared" si="41"/>
        <v>225.99607057584174</v>
      </c>
      <c r="E45" s="46">
        <f t="shared" si="41"/>
        <v>235.93653247417754</v>
      </c>
      <c r="F45" s="46">
        <f t="shared" si="41"/>
        <v>239.94794410414232</v>
      </c>
      <c r="G45" s="46">
        <f t="shared" si="41"/>
        <v>247.37893134479512</v>
      </c>
      <c r="H45" s="46">
        <f t="shared" si="41"/>
        <v>270.29689539069113</v>
      </c>
      <c r="I45" s="47">
        <f t="shared" si="41"/>
        <v>300.15944099284025</v>
      </c>
      <c r="J45" s="5"/>
      <c r="K45" s="30">
        <f>$B$28</f>
        <v>1000000</v>
      </c>
      <c r="L45" s="45">
        <f t="shared" ref="L45:R45" si="42">(L$35 + $K45 / $M$7 / $M$10) / L28</f>
        <v>48.142160007016535</v>
      </c>
      <c r="M45" s="46">
        <f t="shared" si="42"/>
        <v>51.97482691069272</v>
      </c>
      <c r="N45" s="46">
        <f t="shared" si="42"/>
        <v>65.952757156090058</v>
      </c>
      <c r="O45" s="46">
        <f t="shared" si="42"/>
        <v>70.277263751136076</v>
      </c>
      <c r="P45" s="46">
        <f t="shared" si="42"/>
        <v>78.490732706960983</v>
      </c>
      <c r="Q45" s="46">
        <f t="shared" si="42"/>
        <v>107.88545460870479</v>
      </c>
      <c r="R45" s="47">
        <f t="shared" si="42"/>
        <v>159.6653630464215</v>
      </c>
      <c r="S45" s="5"/>
      <c r="T45" s="30">
        <f>$B$28</f>
        <v>1000000</v>
      </c>
      <c r="U45" s="48" t="s">
        <v>34</v>
      </c>
      <c r="V45" s="49" t="s">
        <v>34</v>
      </c>
      <c r="W45" s="49" t="s">
        <v>34</v>
      </c>
      <c r="X45" s="49" t="s">
        <v>34</v>
      </c>
      <c r="Y45" s="49" t="s">
        <v>34</v>
      </c>
      <c r="Z45" s="49" t="s">
        <v>34</v>
      </c>
      <c r="AA45" s="50" t="s">
        <v>34</v>
      </c>
    </row>
    <row r="46" spans="1:27" ht="12.75" customHeight="1" x14ac:dyDescent="0.2">
      <c r="A46" s="5"/>
      <c r="B46" s="30">
        <f>$B$29</f>
        <v>2000000</v>
      </c>
      <c r="C46" s="45">
        <f t="shared" ref="C46:I46" si="43">(C$35 + $B46 / $M$7 / $M$10) / C29</f>
        <v>277.99750512759738</v>
      </c>
      <c r="D46" s="46">
        <f t="shared" si="43"/>
        <v>243.54868226169111</v>
      </c>
      <c r="E46" s="46">
        <f t="shared" si="43"/>
        <v>235.25892943011823</v>
      </c>
      <c r="F46" s="46">
        <f t="shared" si="43"/>
        <v>236.87349908198038</v>
      </c>
      <c r="G46" s="46">
        <f t="shared" si="43"/>
        <v>241.0645384344524</v>
      </c>
      <c r="H46" s="46">
        <f t="shared" si="43"/>
        <v>258.12054637389275</v>
      </c>
      <c r="I46" s="47">
        <f t="shared" si="43"/>
        <v>283.7761808287845</v>
      </c>
      <c r="J46" s="5"/>
      <c r="K46" s="30">
        <f>$B$29</f>
        <v>2000000</v>
      </c>
      <c r="L46" s="45">
        <f t="shared" ref="L46:R46" si="44">(L$35 + $K46 / $M$7 / $M$10) / L29</f>
        <v>50.400348727870693</v>
      </c>
      <c r="M46" s="46">
        <f t="shared" si="44"/>
        <v>50.034365235109732</v>
      </c>
      <c r="N46" s="46">
        <f t="shared" si="44"/>
        <v>59.917664919005837</v>
      </c>
      <c r="O46" s="46">
        <f t="shared" si="44"/>
        <v>63.527350249700255</v>
      </c>
      <c r="P46" s="46">
        <f t="shared" si="44"/>
        <v>70.644441394244211</v>
      </c>
      <c r="Q46" s="46">
        <f t="shared" si="44"/>
        <v>97.44526838081805</v>
      </c>
      <c r="R46" s="47">
        <f t="shared" si="44"/>
        <v>146.51997156585838</v>
      </c>
      <c r="S46" s="5"/>
      <c r="T46" s="30">
        <f>$B$29</f>
        <v>2000000</v>
      </c>
      <c r="U46" s="48" t="s">
        <v>34</v>
      </c>
      <c r="V46" s="49" t="s">
        <v>34</v>
      </c>
      <c r="W46" s="49" t="s">
        <v>34</v>
      </c>
      <c r="X46" s="49" t="s">
        <v>34</v>
      </c>
      <c r="Y46" s="49" t="s">
        <v>34</v>
      </c>
      <c r="Z46" s="49" t="s">
        <v>34</v>
      </c>
      <c r="AA46" s="50" t="s">
        <v>34</v>
      </c>
    </row>
    <row r="47" spans="1:27" ht="12.75" customHeight="1" x14ac:dyDescent="0.2">
      <c r="A47" s="5"/>
      <c r="B47" s="30">
        <f>$B$30</f>
        <v>3000000</v>
      </c>
      <c r="C47" s="45">
        <f t="shared" ref="C47:I47" si="45">(C$35 + $B47 / $M$7 / $M$10) / C30</f>
        <v>323.40985789867506</v>
      </c>
      <c r="D47" s="46">
        <f t="shared" si="45"/>
        <v>265.25195850153079</v>
      </c>
      <c r="E47" s="46">
        <f t="shared" si="45"/>
        <v>240.40657893368177</v>
      </c>
      <c r="F47" s="46">
        <f t="shared" si="45"/>
        <v>239.90720595395462</v>
      </c>
      <c r="G47" s="46">
        <f t="shared" si="45"/>
        <v>241.2860774230553</v>
      </c>
      <c r="H47" s="46">
        <f t="shared" si="45"/>
        <v>253.45995046927067</v>
      </c>
      <c r="I47" s="47">
        <f t="shared" si="45"/>
        <v>275.87845796233847</v>
      </c>
      <c r="J47" s="5"/>
      <c r="K47" s="30">
        <f>$B$30</f>
        <v>3000000</v>
      </c>
      <c r="L47" s="45">
        <f t="shared" ref="L47:R47" si="46">(L$35 + $K47 / $M$7 / $M$10) / L30</f>
        <v>54.663919208008345</v>
      </c>
      <c r="M47" s="46">
        <f t="shared" si="46"/>
        <v>51.129963956851711</v>
      </c>
      <c r="N47" s="46">
        <f t="shared" si="46"/>
        <v>58.191555721157449</v>
      </c>
      <c r="O47" s="46">
        <f t="shared" si="46"/>
        <v>61.344509020310511</v>
      </c>
      <c r="P47" s="46">
        <f t="shared" si="46"/>
        <v>67.78253871527383</v>
      </c>
      <c r="Q47" s="46">
        <f t="shared" si="46"/>
        <v>93.069460216451418</v>
      </c>
      <c r="R47" s="47">
        <f t="shared" si="46"/>
        <v>140.66778739411089</v>
      </c>
      <c r="S47" s="5"/>
      <c r="T47" s="30">
        <f>$B$30</f>
        <v>3000000</v>
      </c>
      <c r="U47" s="45">
        <f t="shared" ref="U47:AA47" si="47">(U$35 + $T47 / $M$7 / $M$10) / U30</f>
        <v>13.815857816491993</v>
      </c>
      <c r="V47" s="46">
        <f t="shared" si="47"/>
        <v>19.477609891965603</v>
      </c>
      <c r="W47" s="46">
        <f t="shared" si="47"/>
        <v>36.449530118812397</v>
      </c>
      <c r="X47" s="46">
        <f t="shared" si="47"/>
        <v>42.05699652320061</v>
      </c>
      <c r="Y47" s="46">
        <f t="shared" si="47"/>
        <v>53.210375825780403</v>
      </c>
      <c r="Z47" s="46">
        <f t="shared" si="47"/>
        <v>97.272061488653989</v>
      </c>
      <c r="AA47" s="47">
        <f t="shared" si="47"/>
        <v>184.01239779229101</v>
      </c>
    </row>
    <row r="48" spans="1:27" ht="12.75" customHeight="1" x14ac:dyDescent="0.2">
      <c r="A48" s="5"/>
      <c r="B48" s="30">
        <f>$B$31</f>
        <v>4000000</v>
      </c>
      <c r="C48" s="45">
        <f t="shared" ref="C48:I48" si="48">(C$35 + $B48 / $M$7 / $M$10) / C31</f>
        <v>369.0968910526442</v>
      </c>
      <c r="D48" s="46">
        <f t="shared" si="48"/>
        <v>288.21894114894496</v>
      </c>
      <c r="E48" s="46">
        <f t="shared" si="48"/>
        <v>247.66425470226187</v>
      </c>
      <c r="F48" s="46">
        <f t="shared" si="48"/>
        <v>245.18482218906482</v>
      </c>
      <c r="G48" s="46">
        <f t="shared" si="48"/>
        <v>243.94885696271888</v>
      </c>
      <c r="H48" s="46">
        <f t="shared" si="48"/>
        <v>251.6718225814071</v>
      </c>
      <c r="I48" s="47">
        <f t="shared" si="48"/>
        <v>271.25877949418748</v>
      </c>
      <c r="J48" s="5"/>
      <c r="K48" s="30">
        <f>$B$31</f>
        <v>4000000</v>
      </c>
      <c r="L48" s="45">
        <f t="shared" ref="L48:R48" si="49">(L$35 + $K48 / $M$7 / $M$10) / L31</f>
        <v>59.40474691344636</v>
      </c>
      <c r="M48" s="46">
        <f t="shared" si="49"/>
        <v>53.162576511882897</v>
      </c>
      <c r="N48" s="46">
        <f t="shared" si="49"/>
        <v>57.922418946085074</v>
      </c>
      <c r="O48" s="46">
        <f t="shared" si="49"/>
        <v>60.719001767838265</v>
      </c>
      <c r="P48" s="46">
        <f t="shared" si="49"/>
        <v>66.637641125985397</v>
      </c>
      <c r="Q48" s="46">
        <f t="shared" si="49"/>
        <v>90.813195308269314</v>
      </c>
      <c r="R48" s="47">
        <f t="shared" si="49"/>
        <v>137.38236116133353</v>
      </c>
      <c r="S48" s="5"/>
      <c r="T48" s="30">
        <f>$B$31</f>
        <v>4000000</v>
      </c>
      <c r="U48" s="45">
        <f t="shared" ref="U48:AA48" si="50">(U$35 + $T48 / $M$7 / $M$10) / U31</f>
        <v>15.425027475945072</v>
      </c>
      <c r="V48" s="46">
        <f t="shared" si="50"/>
        <v>20.864281426770273</v>
      </c>
      <c r="W48" s="46">
        <f t="shared" si="50"/>
        <v>37.340916181419061</v>
      </c>
      <c r="X48" s="46">
        <f t="shared" si="50"/>
        <v>42.808374776776525</v>
      </c>
      <c r="Y48" s="46">
        <f t="shared" si="50"/>
        <v>53.702396988840206</v>
      </c>
      <c r="Z48" s="46">
        <f t="shared" si="50"/>
        <v>96.882743298475845</v>
      </c>
      <c r="AA48" s="47">
        <f t="shared" si="50"/>
        <v>182.19975580867299</v>
      </c>
    </row>
    <row r="49" spans="1:27" ht="12.75" customHeight="1" x14ac:dyDescent="0.2">
      <c r="A49" s="5"/>
      <c r="B49" s="38">
        <f>$B$32</f>
        <v>5000000</v>
      </c>
      <c r="C49" s="51">
        <f t="shared" ref="C49:I49" si="51">(C$35 + $B49 / $M$7 / $M$10) / C32</f>
        <v>414.60084094059414</v>
      </c>
      <c r="D49" s="52">
        <f t="shared" si="51"/>
        <v>311.67467828232907</v>
      </c>
      <c r="E49" s="52">
        <f t="shared" si="51"/>
        <v>255.95900074803953</v>
      </c>
      <c r="F49" s="52">
        <f t="shared" si="51"/>
        <v>251.58265212725598</v>
      </c>
      <c r="G49" s="52">
        <f t="shared" si="51"/>
        <v>247.8522337072462</v>
      </c>
      <c r="H49" s="52">
        <f t="shared" si="51"/>
        <v>251.37836855955072</v>
      </c>
      <c r="I49" s="53">
        <f t="shared" si="51"/>
        <v>268.36309060567572</v>
      </c>
      <c r="J49" s="5"/>
      <c r="K49" s="38">
        <f>$B$32</f>
        <v>5000000</v>
      </c>
      <c r="L49" s="51">
        <f t="shared" ref="L49:R49" si="52">(L$35 + $K49 / $M$7 / $M$10) / L32</f>
        <v>64.271861902157625</v>
      </c>
      <c r="M49" s="52">
        <f t="shared" si="52"/>
        <v>55.596293301508709</v>
      </c>
      <c r="N49" s="52">
        <f t="shared" si="52"/>
        <v>58.346955047323512</v>
      </c>
      <c r="O49" s="52">
        <f t="shared" si="52"/>
        <v>60.841532428284417</v>
      </c>
      <c r="P49" s="52">
        <f t="shared" si="52"/>
        <v>66.32613408585776</v>
      </c>
      <c r="Q49" s="52">
        <f t="shared" si="52"/>
        <v>89.600754328160392</v>
      </c>
      <c r="R49" s="53">
        <f t="shared" si="52"/>
        <v>135.36962308297987</v>
      </c>
      <c r="S49" s="5"/>
      <c r="T49" s="38">
        <f>$B$32</f>
        <v>5000000</v>
      </c>
      <c r="U49" s="51">
        <f t="shared" ref="U49:AA49" si="53">(U$35 + $T49 / $M$7 / $M$10) / U32</f>
        <v>17.135071198851662</v>
      </c>
      <c r="V49" s="52">
        <f t="shared" si="53"/>
        <v>22.430192690413797</v>
      </c>
      <c r="W49" s="52">
        <f t="shared" si="53"/>
        <v>38.590217532224877</v>
      </c>
      <c r="X49" s="52">
        <f t="shared" si="53"/>
        <v>43.96860104013944</v>
      </c>
      <c r="Y49" s="52">
        <f t="shared" si="53"/>
        <v>54.697854559543778</v>
      </c>
      <c r="Z49" s="52">
        <f t="shared" si="53"/>
        <v>97.31949618498038</v>
      </c>
      <c r="AA49" s="53">
        <f t="shared" si="53"/>
        <v>181.73576013738628</v>
      </c>
    </row>
    <row r="50" spans="1:27" ht="12.75" customHeight="1" x14ac:dyDescent="0.2">
      <c r="A50" s="5"/>
      <c r="B50" s="6"/>
      <c r="C50" s="6"/>
      <c r="D50" s="6"/>
      <c r="E50" s="6"/>
      <c r="F50" s="6"/>
      <c r="G50" s="6"/>
      <c r="H50" s="6"/>
      <c r="I50" s="6"/>
      <c r="J50" s="5"/>
      <c r="K50" s="6"/>
      <c r="L50" s="6"/>
      <c r="M50" s="6"/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6"/>
      <c r="Z50" s="6"/>
      <c r="AA50" s="6"/>
    </row>
    <row r="51" spans="1:27" ht="12.75" customHeight="1" x14ac:dyDescent="0.2">
      <c r="A51" s="5"/>
      <c r="B51" s="6"/>
      <c r="C51" s="81" t="s">
        <v>36</v>
      </c>
      <c r="D51" s="82"/>
      <c r="E51" s="82"/>
      <c r="F51" s="82"/>
      <c r="G51" s="82"/>
      <c r="H51" s="82"/>
      <c r="I51" s="78"/>
      <c r="J51" s="5"/>
      <c r="K51" s="6"/>
      <c r="L51" s="81" t="s">
        <v>36</v>
      </c>
      <c r="M51" s="82"/>
      <c r="N51" s="82"/>
      <c r="O51" s="82"/>
      <c r="P51" s="82"/>
      <c r="Q51" s="82"/>
      <c r="R51" s="78"/>
      <c r="S51" s="5"/>
      <c r="T51" s="6"/>
      <c r="U51" s="81" t="s">
        <v>36</v>
      </c>
      <c r="V51" s="82"/>
      <c r="W51" s="82"/>
      <c r="X51" s="82"/>
      <c r="Y51" s="82"/>
      <c r="Z51" s="82"/>
      <c r="AA51" s="78"/>
    </row>
    <row r="52" spans="1:27" ht="15" customHeight="1" x14ac:dyDescent="0.2">
      <c r="A52" s="5"/>
      <c r="B52" s="11" t="s">
        <v>33</v>
      </c>
      <c r="C52" s="15">
        <f>$C$18</f>
        <v>500</v>
      </c>
      <c r="D52" s="16">
        <f>$D$18</f>
        <v>1000</v>
      </c>
      <c r="E52" s="16">
        <f>$E$18</f>
        <v>2500</v>
      </c>
      <c r="F52" s="16">
        <f>$F$18</f>
        <v>3000</v>
      </c>
      <c r="G52" s="16">
        <f>$G$18</f>
        <v>4000</v>
      </c>
      <c r="H52" s="16">
        <f>$H$18</f>
        <v>8000</v>
      </c>
      <c r="I52" s="17">
        <f>$I$18</f>
        <v>16000</v>
      </c>
      <c r="J52" s="5"/>
      <c r="K52" s="11" t="s">
        <v>33</v>
      </c>
      <c r="L52" s="15">
        <f>$C$18</f>
        <v>500</v>
      </c>
      <c r="M52" s="16">
        <f>$D$18</f>
        <v>1000</v>
      </c>
      <c r="N52" s="16">
        <f>$E$18</f>
        <v>2500</v>
      </c>
      <c r="O52" s="16">
        <f>$F$18</f>
        <v>3000</v>
      </c>
      <c r="P52" s="16">
        <f>$G$18</f>
        <v>4000</v>
      </c>
      <c r="Q52" s="16">
        <f>$H$18</f>
        <v>8000</v>
      </c>
      <c r="R52" s="17">
        <f>$I$18</f>
        <v>16000</v>
      </c>
      <c r="S52" s="5"/>
      <c r="T52" s="11" t="s">
        <v>33</v>
      </c>
      <c r="U52" s="15">
        <f>$C$18</f>
        <v>500</v>
      </c>
      <c r="V52" s="16">
        <f>$D$18</f>
        <v>1000</v>
      </c>
      <c r="W52" s="16">
        <f>$E$18</f>
        <v>2500</v>
      </c>
      <c r="X52" s="16">
        <f>$F$18</f>
        <v>3000</v>
      </c>
      <c r="Y52" s="16">
        <f>$G$18</f>
        <v>4000</v>
      </c>
      <c r="Z52" s="16">
        <f>$H$18</f>
        <v>8000</v>
      </c>
      <c r="AA52" s="17">
        <f>$I$18</f>
        <v>16000</v>
      </c>
    </row>
    <row r="53" spans="1:27" ht="12.75" customHeight="1" x14ac:dyDescent="0.2">
      <c r="A53" s="5"/>
      <c r="B53" s="22">
        <f>$B$19</f>
        <v>100000</v>
      </c>
      <c r="C53" s="39">
        <f t="shared" ref="C53:I53" si="54">C36 + $M$13</f>
        <v>324.33342596655666</v>
      </c>
      <c r="D53" s="40">
        <f t="shared" si="54"/>
        <v>344.74244032273253</v>
      </c>
      <c r="E53" s="40">
        <f t="shared" si="54"/>
        <v>378.45310687818534</v>
      </c>
      <c r="F53" s="40">
        <f t="shared" si="54"/>
        <v>386.04317519688681</v>
      </c>
      <c r="G53" s="40">
        <f t="shared" si="54"/>
        <v>398.63957705289607</v>
      </c>
      <c r="H53" s="40">
        <f t="shared" si="54"/>
        <v>432.39114246319747</v>
      </c>
      <c r="I53" s="41">
        <f t="shared" si="54"/>
        <v>471.95565410750964</v>
      </c>
      <c r="J53" s="5"/>
      <c r="K53" s="22">
        <f>$B$19</f>
        <v>100000</v>
      </c>
      <c r="L53" s="42" t="s">
        <v>34</v>
      </c>
      <c r="M53" s="43" t="s">
        <v>34</v>
      </c>
      <c r="N53" s="43" t="s">
        <v>34</v>
      </c>
      <c r="O53" s="43" t="s">
        <v>34</v>
      </c>
      <c r="P53" s="43" t="s">
        <v>34</v>
      </c>
      <c r="Q53" s="43" t="s">
        <v>34</v>
      </c>
      <c r="R53" s="44" t="s">
        <v>34</v>
      </c>
      <c r="S53" s="5"/>
      <c r="T53" s="22">
        <f>$B$19</f>
        <v>100000</v>
      </c>
      <c r="U53" s="42" t="s">
        <v>34</v>
      </c>
      <c r="V53" s="43" t="s">
        <v>34</v>
      </c>
      <c r="W53" s="43" t="s">
        <v>34</v>
      </c>
      <c r="X53" s="43" t="s">
        <v>34</v>
      </c>
      <c r="Y53" s="43" t="s">
        <v>34</v>
      </c>
      <c r="Z53" s="43" t="s">
        <v>34</v>
      </c>
      <c r="AA53" s="44" t="s">
        <v>34</v>
      </c>
    </row>
    <row r="54" spans="1:27" ht="12.75" customHeight="1" x14ac:dyDescent="0.2">
      <c r="A54" s="5"/>
      <c r="B54" s="30">
        <f>$B$20</f>
        <v>200000</v>
      </c>
      <c r="C54" s="45">
        <f t="shared" ref="C54:I54" si="55">C37 + $M$13</f>
        <v>316.72458608683814</v>
      </c>
      <c r="D54" s="46">
        <f t="shared" si="55"/>
        <v>332.49454548767699</v>
      </c>
      <c r="E54" s="46">
        <f t="shared" si="55"/>
        <v>361.78036828720639</v>
      </c>
      <c r="F54" s="46">
        <f t="shared" si="55"/>
        <v>368.60886079444737</v>
      </c>
      <c r="G54" s="46">
        <f t="shared" si="55"/>
        <v>380.04575023794979</v>
      </c>
      <c r="H54" s="46">
        <f t="shared" si="55"/>
        <v>411.10938371629919</v>
      </c>
      <c r="I54" s="47">
        <f t="shared" si="55"/>
        <v>447.98066566263998</v>
      </c>
      <c r="J54" s="5"/>
      <c r="K54" s="30">
        <f>$B$20</f>
        <v>200000</v>
      </c>
      <c r="L54" s="48" t="s">
        <v>34</v>
      </c>
      <c r="M54" s="49" t="s">
        <v>34</v>
      </c>
      <c r="N54" s="49" t="s">
        <v>34</v>
      </c>
      <c r="O54" s="49" t="s">
        <v>34</v>
      </c>
      <c r="P54" s="49" t="s">
        <v>34</v>
      </c>
      <c r="Q54" s="49" t="s">
        <v>34</v>
      </c>
      <c r="R54" s="50" t="s">
        <v>34</v>
      </c>
      <c r="S54" s="5"/>
      <c r="T54" s="30">
        <f>$B$20</f>
        <v>200000</v>
      </c>
      <c r="U54" s="48" t="s">
        <v>34</v>
      </c>
      <c r="V54" s="49" t="s">
        <v>34</v>
      </c>
      <c r="W54" s="49" t="s">
        <v>34</v>
      </c>
      <c r="X54" s="49" t="s">
        <v>34</v>
      </c>
      <c r="Y54" s="49" t="s">
        <v>34</v>
      </c>
      <c r="Z54" s="49" t="s">
        <v>34</v>
      </c>
      <c r="AA54" s="50" t="s">
        <v>34</v>
      </c>
    </row>
    <row r="55" spans="1:27" ht="12.75" customHeight="1" x14ac:dyDescent="0.2">
      <c r="A55" s="5"/>
      <c r="B55" s="30">
        <f>$B$21</f>
        <v>300000</v>
      </c>
      <c r="C55" s="45">
        <f t="shared" ref="C55:I55" si="56">C38 + $M$13</f>
        <v>315.22678223235653</v>
      </c>
      <c r="D55" s="46">
        <f t="shared" si="56"/>
        <v>327.22167491061344</v>
      </c>
      <c r="E55" s="46">
        <f t="shared" si="56"/>
        <v>353.24416213883552</v>
      </c>
      <c r="F55" s="46">
        <f t="shared" si="56"/>
        <v>359.55195147974797</v>
      </c>
      <c r="G55" s="46">
        <f t="shared" si="56"/>
        <v>370.21869126659209</v>
      </c>
      <c r="H55" s="46">
        <f t="shared" si="56"/>
        <v>399.58815861063562</v>
      </c>
      <c r="I55" s="47">
        <f t="shared" si="56"/>
        <v>434.85408383001527</v>
      </c>
      <c r="J55" s="5"/>
      <c r="K55" s="30">
        <f>$B$21</f>
        <v>300000</v>
      </c>
      <c r="L55" s="48" t="s">
        <v>34</v>
      </c>
      <c r="M55" s="49" t="s">
        <v>34</v>
      </c>
      <c r="N55" s="49" t="s">
        <v>34</v>
      </c>
      <c r="O55" s="49" t="s">
        <v>34</v>
      </c>
      <c r="P55" s="49" t="s">
        <v>34</v>
      </c>
      <c r="Q55" s="49" t="s">
        <v>34</v>
      </c>
      <c r="R55" s="50" t="s">
        <v>34</v>
      </c>
      <c r="S55" s="5"/>
      <c r="T55" s="30">
        <f>$B$21</f>
        <v>300000</v>
      </c>
      <c r="U55" s="48" t="s">
        <v>34</v>
      </c>
      <c r="V55" s="49" t="s">
        <v>34</v>
      </c>
      <c r="W55" s="49" t="s">
        <v>34</v>
      </c>
      <c r="X55" s="49" t="s">
        <v>34</v>
      </c>
      <c r="Y55" s="49" t="s">
        <v>34</v>
      </c>
      <c r="Z55" s="49" t="s">
        <v>34</v>
      </c>
      <c r="AA55" s="50" t="s">
        <v>34</v>
      </c>
    </row>
    <row r="56" spans="1:27" ht="12.75" customHeight="1" x14ac:dyDescent="0.2">
      <c r="A56" s="5"/>
      <c r="B56" s="30">
        <f>$B$22</f>
        <v>400000</v>
      </c>
      <c r="C56" s="45">
        <f t="shared" ref="C56:I56" si="57">C39 + $M$13</f>
        <v>316.03319518101716</v>
      </c>
      <c r="D56" s="46">
        <f t="shared" si="57"/>
        <v>324.62621501937349</v>
      </c>
      <c r="E56" s="46">
        <f t="shared" si="57"/>
        <v>347.86295368427056</v>
      </c>
      <c r="F56" s="46">
        <f t="shared" si="57"/>
        <v>353.747004096816</v>
      </c>
      <c r="G56" s="46">
        <f t="shared" si="57"/>
        <v>363.79938122434089</v>
      </c>
      <c r="H56" s="46">
        <f t="shared" si="57"/>
        <v>391.86868158509856</v>
      </c>
      <c r="I56" s="47">
        <f t="shared" si="57"/>
        <v>425.95724188461628</v>
      </c>
      <c r="J56" s="5"/>
      <c r="K56" s="30">
        <f>$B$22</f>
        <v>400000</v>
      </c>
      <c r="L56" s="48" t="s">
        <v>34</v>
      </c>
      <c r="M56" s="49" t="s">
        <v>34</v>
      </c>
      <c r="N56" s="49" t="s">
        <v>34</v>
      </c>
      <c r="O56" s="49" t="s">
        <v>34</v>
      </c>
      <c r="P56" s="49" t="s">
        <v>34</v>
      </c>
      <c r="Q56" s="49" t="s">
        <v>34</v>
      </c>
      <c r="R56" s="50" t="s">
        <v>34</v>
      </c>
      <c r="S56" s="5"/>
      <c r="T56" s="30">
        <f>$B$22</f>
        <v>400000</v>
      </c>
      <c r="U56" s="48" t="s">
        <v>34</v>
      </c>
      <c r="V56" s="49" t="s">
        <v>34</v>
      </c>
      <c r="W56" s="49" t="s">
        <v>34</v>
      </c>
      <c r="X56" s="49" t="s">
        <v>34</v>
      </c>
      <c r="Y56" s="49" t="s">
        <v>34</v>
      </c>
      <c r="Z56" s="49" t="s">
        <v>34</v>
      </c>
      <c r="AA56" s="50" t="s">
        <v>34</v>
      </c>
    </row>
    <row r="57" spans="1:27" ht="12.75" customHeight="1" x14ac:dyDescent="0.2">
      <c r="A57" s="5"/>
      <c r="B57" s="30">
        <f>$B$23</f>
        <v>500000</v>
      </c>
      <c r="C57" s="45">
        <f t="shared" ref="C57:I57" si="58">C40 + $M$13</f>
        <v>318.02217843701669</v>
      </c>
      <c r="D57" s="46">
        <f t="shared" si="58"/>
        <v>323.43000384836574</v>
      </c>
      <c r="E57" s="46">
        <f t="shared" si="58"/>
        <v>344.14711820860038</v>
      </c>
      <c r="F57" s="46">
        <f t="shared" si="58"/>
        <v>349.66045050142145</v>
      </c>
      <c r="G57" s="46">
        <f t="shared" si="58"/>
        <v>359.18317737577854</v>
      </c>
      <c r="H57" s="46">
        <f t="shared" si="58"/>
        <v>386.16474973136923</v>
      </c>
      <c r="I57" s="47">
        <f t="shared" si="58"/>
        <v>419.30503896902081</v>
      </c>
      <c r="J57" s="5"/>
      <c r="K57" s="30">
        <f>$B$23</f>
        <v>500000</v>
      </c>
      <c r="L57" s="45">
        <f t="shared" ref="L57:R57" si="59">L40 + $M$13</f>
        <v>150.64122125998318</v>
      </c>
      <c r="M57" s="46">
        <f t="shared" si="59"/>
        <v>157.77428870961063</v>
      </c>
      <c r="N57" s="46">
        <f t="shared" si="59"/>
        <v>175.43098675017902</v>
      </c>
      <c r="O57" s="46">
        <f t="shared" si="59"/>
        <v>180.45934918290823</v>
      </c>
      <c r="P57" s="46">
        <f t="shared" si="59"/>
        <v>189.78926065124108</v>
      </c>
      <c r="Q57" s="46">
        <f t="shared" si="59"/>
        <v>221.98458666287218</v>
      </c>
      <c r="R57" s="47">
        <f t="shared" si="59"/>
        <v>276.86140038022131</v>
      </c>
      <c r="S57" s="5"/>
      <c r="T57" s="30">
        <f>$B$23</f>
        <v>500000</v>
      </c>
      <c r="U57" s="48" t="s">
        <v>34</v>
      </c>
      <c r="V57" s="49" t="s">
        <v>34</v>
      </c>
      <c r="W57" s="49" t="s">
        <v>34</v>
      </c>
      <c r="X57" s="49" t="s">
        <v>34</v>
      </c>
      <c r="Y57" s="49" t="s">
        <v>34</v>
      </c>
      <c r="Z57" s="49" t="s">
        <v>34</v>
      </c>
      <c r="AA57" s="50" t="s">
        <v>34</v>
      </c>
    </row>
    <row r="58" spans="1:27" ht="12.75" customHeight="1" x14ac:dyDescent="0.2">
      <c r="A58" s="5"/>
      <c r="B58" s="30">
        <f>$B$24</f>
        <v>600000</v>
      </c>
      <c r="C58" s="45">
        <f t="shared" ref="C58:I58" si="60">C41 + $M$13</f>
        <v>320.71665315753791</v>
      </c>
      <c r="D58" s="46">
        <f t="shared" si="60"/>
        <v>323.08442579632873</v>
      </c>
      <c r="E58" s="46">
        <f t="shared" si="60"/>
        <v>341.45394770755843</v>
      </c>
      <c r="F58" s="46">
        <f t="shared" si="60"/>
        <v>346.63024890637894</v>
      </c>
      <c r="G58" s="46">
        <f t="shared" si="60"/>
        <v>355.67686759261323</v>
      </c>
      <c r="H58" s="46">
        <f t="shared" si="60"/>
        <v>381.7039066978258</v>
      </c>
      <c r="I58" s="47">
        <f t="shared" si="60"/>
        <v>414.03855622333663</v>
      </c>
      <c r="J58" s="5"/>
      <c r="K58" s="30">
        <f>$B$24</f>
        <v>600000</v>
      </c>
      <c r="L58" s="45">
        <f t="shared" ref="L58:R58" si="61">L41 + $M$13</f>
        <v>149.59241683200048</v>
      </c>
      <c r="M58" s="46">
        <f t="shared" si="61"/>
        <v>155.91226039008609</v>
      </c>
      <c r="N58" s="46">
        <f t="shared" si="61"/>
        <v>172.61527893663947</v>
      </c>
      <c r="O58" s="46">
        <f t="shared" si="61"/>
        <v>177.45564007387156</v>
      </c>
      <c r="P58" s="46">
        <f t="shared" si="61"/>
        <v>186.48432554877147</v>
      </c>
      <c r="Q58" s="46">
        <f t="shared" si="61"/>
        <v>217.91140801909421</v>
      </c>
      <c r="R58" s="47">
        <f t="shared" si="61"/>
        <v>271.92553870090069</v>
      </c>
      <c r="S58" s="5"/>
      <c r="T58" s="30">
        <f>$B$24</f>
        <v>600000</v>
      </c>
      <c r="U58" s="48" t="s">
        <v>34</v>
      </c>
      <c r="V58" s="49" t="s">
        <v>34</v>
      </c>
      <c r="W58" s="49" t="s">
        <v>34</v>
      </c>
      <c r="X58" s="49" t="s">
        <v>34</v>
      </c>
      <c r="Y58" s="49" t="s">
        <v>34</v>
      </c>
      <c r="Z58" s="49" t="s">
        <v>34</v>
      </c>
      <c r="AA58" s="50" t="s">
        <v>34</v>
      </c>
    </row>
    <row r="59" spans="1:27" ht="12.75" customHeight="1" x14ac:dyDescent="0.2">
      <c r="A59" s="5"/>
      <c r="B59" s="30">
        <f>$B$25</f>
        <v>700000</v>
      </c>
      <c r="C59" s="45">
        <f t="shared" ref="C59:I59" si="62">C42 + $M$13</f>
        <v>323.87192347541838</v>
      </c>
      <c r="D59" s="46">
        <f t="shared" si="62"/>
        <v>323.3055120806149</v>
      </c>
      <c r="E59" s="46">
        <f t="shared" si="62"/>
        <v>339.44905561391374</v>
      </c>
      <c r="F59" s="46">
        <f t="shared" si="62"/>
        <v>344.31176205282679</v>
      </c>
      <c r="G59" s="46">
        <f t="shared" si="62"/>
        <v>352.91933866318777</v>
      </c>
      <c r="H59" s="46">
        <f t="shared" si="62"/>
        <v>378.0833443877097</v>
      </c>
      <c r="I59" s="47">
        <f t="shared" si="62"/>
        <v>409.70966955322513</v>
      </c>
      <c r="J59" s="5"/>
      <c r="K59" s="30">
        <f>$B$25</f>
        <v>700000</v>
      </c>
      <c r="L59" s="45">
        <f t="shared" ref="L59:R59" si="63">L42 + $M$13</f>
        <v>148.91513554178493</v>
      </c>
      <c r="M59" s="46">
        <f t="shared" si="63"/>
        <v>154.52134147334348</v>
      </c>
      <c r="N59" s="46">
        <f t="shared" si="63"/>
        <v>170.41405905970009</v>
      </c>
      <c r="O59" s="46">
        <f t="shared" si="63"/>
        <v>175.09764561255975</v>
      </c>
      <c r="P59" s="46">
        <f t="shared" si="63"/>
        <v>183.87670802106101</v>
      </c>
      <c r="Q59" s="46">
        <f t="shared" si="63"/>
        <v>214.67364216419236</v>
      </c>
      <c r="R59" s="47">
        <f t="shared" si="63"/>
        <v>267.98681728457086</v>
      </c>
      <c r="S59" s="5"/>
      <c r="T59" s="30">
        <f>$B$25</f>
        <v>700000</v>
      </c>
      <c r="U59" s="48" t="s">
        <v>34</v>
      </c>
      <c r="V59" s="49" t="s">
        <v>34</v>
      </c>
      <c r="W59" s="49" t="s">
        <v>34</v>
      </c>
      <c r="X59" s="49" t="s">
        <v>34</v>
      </c>
      <c r="Y59" s="49" t="s">
        <v>34</v>
      </c>
      <c r="Z59" s="49" t="s">
        <v>34</v>
      </c>
      <c r="AA59" s="50" t="s">
        <v>34</v>
      </c>
    </row>
    <row r="60" spans="1:27" ht="12.75" customHeight="1" x14ac:dyDescent="0.2">
      <c r="A60" s="5"/>
      <c r="B60" s="30">
        <f>$B$26</f>
        <v>800000</v>
      </c>
      <c r="C60" s="45">
        <f t="shared" ref="C60:I60" si="64">C43 + $M$13</f>
        <v>327.34699192927201</v>
      </c>
      <c r="D60" s="46">
        <f t="shared" si="64"/>
        <v>323.92811140650304</v>
      </c>
      <c r="E60" s="46">
        <f t="shared" si="64"/>
        <v>337.93696532125176</v>
      </c>
      <c r="F60" s="46">
        <f t="shared" si="64"/>
        <v>342.50340933827499</v>
      </c>
      <c r="G60" s="46">
        <f t="shared" si="64"/>
        <v>350.69922782952506</v>
      </c>
      <c r="H60" s="46">
        <f t="shared" si="64"/>
        <v>375.06705474611476</v>
      </c>
      <c r="I60" s="47">
        <f t="shared" si="64"/>
        <v>406.0556869986932</v>
      </c>
      <c r="J60" s="5"/>
      <c r="K60" s="30">
        <f>$B$26</f>
        <v>800000</v>
      </c>
      <c r="L60" s="45">
        <f t="shared" ref="L60:R60" si="65">L43 + $M$13</f>
        <v>148.49138764737498</v>
      </c>
      <c r="M60" s="46">
        <f t="shared" si="65"/>
        <v>153.45585385734066</v>
      </c>
      <c r="N60" s="46">
        <f t="shared" si="65"/>
        <v>168.64009978469534</v>
      </c>
      <c r="O60" s="46">
        <f t="shared" si="65"/>
        <v>173.18893647555029</v>
      </c>
      <c r="P60" s="46">
        <f t="shared" si="65"/>
        <v>181.75469888630272</v>
      </c>
      <c r="Q60" s="46">
        <f t="shared" si="65"/>
        <v>212.01839541989369</v>
      </c>
      <c r="R60" s="47">
        <f t="shared" si="65"/>
        <v>264.74382268701504</v>
      </c>
      <c r="S60" s="5"/>
      <c r="T60" s="30">
        <f>$B$26</f>
        <v>800000</v>
      </c>
      <c r="U60" s="48" t="s">
        <v>34</v>
      </c>
      <c r="V60" s="49" t="s">
        <v>34</v>
      </c>
      <c r="W60" s="49" t="s">
        <v>34</v>
      </c>
      <c r="X60" s="49" t="s">
        <v>34</v>
      </c>
      <c r="Y60" s="49" t="s">
        <v>34</v>
      </c>
      <c r="Z60" s="49" t="s">
        <v>34</v>
      </c>
      <c r="AA60" s="50" t="s">
        <v>34</v>
      </c>
    </row>
    <row r="61" spans="1:27" ht="12.75" customHeight="1" x14ac:dyDescent="0.2">
      <c r="A61" s="5"/>
      <c r="B61" s="30">
        <f>$B$27</f>
        <v>900000</v>
      </c>
      <c r="C61" s="45">
        <f t="shared" ref="C61:I61" si="66">C44 + $M$13</f>
        <v>331.05384281518741</v>
      </c>
      <c r="D61" s="46">
        <f t="shared" si="66"/>
        <v>324.84815063174119</v>
      </c>
      <c r="E61" s="46">
        <f t="shared" si="66"/>
        <v>336.79385472296701</v>
      </c>
      <c r="F61" s="46">
        <f t="shared" si="66"/>
        <v>341.07743143791834</v>
      </c>
      <c r="G61" s="46">
        <f t="shared" si="66"/>
        <v>348.88248396929202</v>
      </c>
      <c r="H61" s="46">
        <f t="shared" si="66"/>
        <v>372.5052035848247</v>
      </c>
      <c r="I61" s="47">
        <f t="shared" si="66"/>
        <v>402.90974954324707</v>
      </c>
      <c r="J61" s="5"/>
      <c r="K61" s="30">
        <f>$B$27</f>
        <v>900000</v>
      </c>
      <c r="L61" s="45">
        <f t="shared" ref="L61:R61" si="67">L44 + $M$13</f>
        <v>148.2492778589023</v>
      </c>
      <c r="M61" s="46">
        <f t="shared" si="67"/>
        <v>152.62646180833704</v>
      </c>
      <c r="N61" s="46">
        <f t="shared" si="67"/>
        <v>167.17817225116016</v>
      </c>
      <c r="O61" s="46">
        <f t="shared" si="67"/>
        <v>171.60857340653831</v>
      </c>
      <c r="P61" s="46">
        <f t="shared" si="67"/>
        <v>179.98788822082639</v>
      </c>
      <c r="Q61" s="46">
        <f t="shared" si="67"/>
        <v>209.78977667500578</v>
      </c>
      <c r="R61" s="47">
        <f t="shared" si="67"/>
        <v>262.01068842170071</v>
      </c>
      <c r="S61" s="5"/>
      <c r="T61" s="30">
        <f>$B$27</f>
        <v>900000</v>
      </c>
      <c r="U61" s="48" t="s">
        <v>34</v>
      </c>
      <c r="V61" s="49" t="s">
        <v>34</v>
      </c>
      <c r="W61" s="49" t="s">
        <v>34</v>
      </c>
      <c r="X61" s="49" t="s">
        <v>34</v>
      </c>
      <c r="Y61" s="49" t="s">
        <v>34</v>
      </c>
      <c r="Z61" s="49" t="s">
        <v>34</v>
      </c>
      <c r="AA61" s="50" t="s">
        <v>34</v>
      </c>
    </row>
    <row r="62" spans="1:27" ht="12.75" customHeight="1" x14ac:dyDescent="0.2">
      <c r="A62" s="5"/>
      <c r="B62" s="30">
        <f>$B$28</f>
        <v>1000000</v>
      </c>
      <c r="C62" s="45">
        <f t="shared" ref="C62:I62" si="68">C45 + $M$13</f>
        <v>334.93421556989995</v>
      </c>
      <c r="D62" s="46">
        <f t="shared" si="68"/>
        <v>325.99607057584171</v>
      </c>
      <c r="E62" s="46">
        <f t="shared" si="68"/>
        <v>335.93653247417751</v>
      </c>
      <c r="F62" s="46">
        <f t="shared" si="68"/>
        <v>339.94794410414232</v>
      </c>
      <c r="G62" s="46">
        <f t="shared" si="68"/>
        <v>347.37893134479509</v>
      </c>
      <c r="H62" s="46">
        <f t="shared" si="68"/>
        <v>370.29689539069113</v>
      </c>
      <c r="I62" s="47">
        <f t="shared" si="68"/>
        <v>400.15944099284025</v>
      </c>
      <c r="J62" s="5"/>
      <c r="K62" s="30">
        <f>$B$28</f>
        <v>1000000</v>
      </c>
      <c r="L62" s="45">
        <f t="shared" ref="L62:R62" si="69">L45 + $M$13</f>
        <v>148.14216000701654</v>
      </c>
      <c r="M62" s="46">
        <f t="shared" si="69"/>
        <v>151.97482691069271</v>
      </c>
      <c r="N62" s="46">
        <f t="shared" si="69"/>
        <v>165.95275715609006</v>
      </c>
      <c r="O62" s="46">
        <f t="shared" si="69"/>
        <v>170.27726375113608</v>
      </c>
      <c r="P62" s="46">
        <f t="shared" si="69"/>
        <v>178.49073270696098</v>
      </c>
      <c r="Q62" s="46">
        <f t="shared" si="69"/>
        <v>207.88545460870478</v>
      </c>
      <c r="R62" s="47">
        <f t="shared" si="69"/>
        <v>259.66536304642148</v>
      </c>
      <c r="S62" s="5"/>
      <c r="T62" s="30">
        <f>$B$28</f>
        <v>1000000</v>
      </c>
      <c r="U62" s="48" t="s">
        <v>34</v>
      </c>
      <c r="V62" s="49" t="s">
        <v>34</v>
      </c>
      <c r="W62" s="49" t="s">
        <v>34</v>
      </c>
      <c r="X62" s="49" t="s">
        <v>34</v>
      </c>
      <c r="Y62" s="49" t="s">
        <v>34</v>
      </c>
      <c r="Z62" s="49" t="s">
        <v>34</v>
      </c>
      <c r="AA62" s="50" t="s">
        <v>34</v>
      </c>
    </row>
    <row r="63" spans="1:27" ht="12.75" customHeight="1" x14ac:dyDescent="0.2">
      <c r="A63" s="5"/>
      <c r="B63" s="30">
        <f>$B$29</f>
        <v>2000000</v>
      </c>
      <c r="C63" s="45">
        <f t="shared" ref="C63:I63" si="70">C46 + $M$13</f>
        <v>377.99750512759738</v>
      </c>
      <c r="D63" s="46">
        <f t="shared" si="70"/>
        <v>343.54868226169111</v>
      </c>
      <c r="E63" s="46">
        <f t="shared" si="70"/>
        <v>335.2589294301182</v>
      </c>
      <c r="F63" s="46">
        <f t="shared" si="70"/>
        <v>336.87349908198041</v>
      </c>
      <c r="G63" s="46">
        <f t="shared" si="70"/>
        <v>341.0645384344524</v>
      </c>
      <c r="H63" s="46">
        <f t="shared" si="70"/>
        <v>358.12054637389275</v>
      </c>
      <c r="I63" s="47">
        <f t="shared" si="70"/>
        <v>383.7761808287845</v>
      </c>
      <c r="J63" s="5"/>
      <c r="K63" s="30">
        <f>$B$29</f>
        <v>2000000</v>
      </c>
      <c r="L63" s="45">
        <f t="shared" ref="L63:R63" si="71">L46 + $M$13</f>
        <v>150.40034872787069</v>
      </c>
      <c r="M63" s="46">
        <f t="shared" si="71"/>
        <v>150.03436523510973</v>
      </c>
      <c r="N63" s="46">
        <f t="shared" si="71"/>
        <v>159.91766491900583</v>
      </c>
      <c r="O63" s="46">
        <f t="shared" si="71"/>
        <v>163.52735024970025</v>
      </c>
      <c r="P63" s="46">
        <f t="shared" si="71"/>
        <v>170.64444139424421</v>
      </c>
      <c r="Q63" s="46">
        <f t="shared" si="71"/>
        <v>197.44526838081805</v>
      </c>
      <c r="R63" s="47">
        <f t="shared" si="71"/>
        <v>246.51997156585838</v>
      </c>
      <c r="S63" s="5"/>
      <c r="T63" s="30">
        <f>$B$29</f>
        <v>2000000</v>
      </c>
      <c r="U63" s="48" t="s">
        <v>34</v>
      </c>
      <c r="V63" s="49" t="s">
        <v>34</v>
      </c>
      <c r="W63" s="49" t="s">
        <v>34</v>
      </c>
      <c r="X63" s="49" t="s">
        <v>34</v>
      </c>
      <c r="Y63" s="49" t="s">
        <v>34</v>
      </c>
      <c r="Z63" s="49" t="s">
        <v>34</v>
      </c>
      <c r="AA63" s="50" t="s">
        <v>34</v>
      </c>
    </row>
    <row r="64" spans="1:27" ht="12.75" customHeight="1" x14ac:dyDescent="0.2">
      <c r="A64" s="5"/>
      <c r="B64" s="30">
        <f>$B$30</f>
        <v>3000000</v>
      </c>
      <c r="C64" s="45">
        <f t="shared" ref="C64:I64" si="72">C47 + $M$13</f>
        <v>423.40985789867506</v>
      </c>
      <c r="D64" s="46">
        <f t="shared" si="72"/>
        <v>365.25195850153079</v>
      </c>
      <c r="E64" s="46">
        <f t="shared" si="72"/>
        <v>340.40657893368177</v>
      </c>
      <c r="F64" s="46">
        <f t="shared" si="72"/>
        <v>339.90720595395464</v>
      </c>
      <c r="G64" s="46">
        <f t="shared" si="72"/>
        <v>341.2860774230553</v>
      </c>
      <c r="H64" s="46">
        <f t="shared" si="72"/>
        <v>353.45995046927067</v>
      </c>
      <c r="I64" s="47">
        <f t="shared" si="72"/>
        <v>375.87845796233847</v>
      </c>
      <c r="J64" s="5"/>
      <c r="K64" s="30">
        <f>$B$30</f>
        <v>3000000</v>
      </c>
      <c r="L64" s="45">
        <f t="shared" ref="L64:R64" si="73">L47 + $M$13</f>
        <v>154.66391920800834</v>
      </c>
      <c r="M64" s="46">
        <f t="shared" si="73"/>
        <v>151.12996395685173</v>
      </c>
      <c r="N64" s="46">
        <f t="shared" si="73"/>
        <v>158.19155572115744</v>
      </c>
      <c r="O64" s="46">
        <f t="shared" si="73"/>
        <v>161.34450902031051</v>
      </c>
      <c r="P64" s="46">
        <f t="shared" si="73"/>
        <v>167.78253871527383</v>
      </c>
      <c r="Q64" s="46">
        <f t="shared" si="73"/>
        <v>193.06946021645143</v>
      </c>
      <c r="R64" s="47">
        <f t="shared" si="73"/>
        <v>240.66778739411089</v>
      </c>
      <c r="S64" s="5"/>
      <c r="T64" s="30">
        <f>$B$30</f>
        <v>3000000</v>
      </c>
      <c r="U64" s="45">
        <f t="shared" ref="U64:AA64" si="74">U47 + $M$13</f>
        <v>113.815857816492</v>
      </c>
      <c r="V64" s="46">
        <f t="shared" si="74"/>
        <v>119.4776098919656</v>
      </c>
      <c r="W64" s="46">
        <f t="shared" si="74"/>
        <v>136.44953011881239</v>
      </c>
      <c r="X64" s="46">
        <f t="shared" si="74"/>
        <v>142.05699652320061</v>
      </c>
      <c r="Y64" s="46">
        <f t="shared" si="74"/>
        <v>153.2103758257804</v>
      </c>
      <c r="Z64" s="46">
        <f t="shared" si="74"/>
        <v>197.272061488654</v>
      </c>
      <c r="AA64" s="47">
        <f t="shared" si="74"/>
        <v>284.01239779229104</v>
      </c>
    </row>
    <row r="65" spans="1:27" ht="12.75" customHeight="1" x14ac:dyDescent="0.2">
      <c r="A65" s="5"/>
      <c r="B65" s="30">
        <f>$B$31</f>
        <v>4000000</v>
      </c>
      <c r="C65" s="45">
        <f t="shared" ref="C65:I65" si="75">C48 + $M$13</f>
        <v>469.0968910526442</v>
      </c>
      <c r="D65" s="46">
        <f t="shared" si="75"/>
        <v>388.21894114894496</v>
      </c>
      <c r="E65" s="46">
        <f t="shared" si="75"/>
        <v>347.66425470226187</v>
      </c>
      <c r="F65" s="46">
        <f t="shared" si="75"/>
        <v>345.18482218906479</v>
      </c>
      <c r="G65" s="46">
        <f t="shared" si="75"/>
        <v>343.94885696271888</v>
      </c>
      <c r="H65" s="46">
        <f t="shared" si="75"/>
        <v>351.67182258140713</v>
      </c>
      <c r="I65" s="47">
        <f t="shared" si="75"/>
        <v>371.25877949418748</v>
      </c>
      <c r="J65" s="5"/>
      <c r="K65" s="30">
        <f>$B$31</f>
        <v>4000000</v>
      </c>
      <c r="L65" s="45">
        <f t="shared" ref="L65:R65" si="76">L48 + $M$13</f>
        <v>159.40474691344636</v>
      </c>
      <c r="M65" s="46">
        <f t="shared" si="76"/>
        <v>153.16257651188289</v>
      </c>
      <c r="N65" s="46">
        <f t="shared" si="76"/>
        <v>157.92241894608509</v>
      </c>
      <c r="O65" s="46">
        <f t="shared" si="76"/>
        <v>160.71900176783828</v>
      </c>
      <c r="P65" s="46">
        <f t="shared" si="76"/>
        <v>166.6376411259854</v>
      </c>
      <c r="Q65" s="46">
        <f t="shared" si="76"/>
        <v>190.81319530826931</v>
      </c>
      <c r="R65" s="47">
        <f t="shared" si="76"/>
        <v>237.38236116133353</v>
      </c>
      <c r="S65" s="5"/>
      <c r="T65" s="30">
        <f>$B$31</f>
        <v>4000000</v>
      </c>
      <c r="U65" s="45">
        <f t="shared" ref="U65:AA65" si="77">U48 + $M$13</f>
        <v>115.42502747594507</v>
      </c>
      <c r="V65" s="46">
        <f t="shared" si="77"/>
        <v>120.86428142677028</v>
      </c>
      <c r="W65" s="46">
        <f t="shared" si="77"/>
        <v>137.34091618141906</v>
      </c>
      <c r="X65" s="46">
        <f t="shared" si="77"/>
        <v>142.80837477677653</v>
      </c>
      <c r="Y65" s="46">
        <f t="shared" si="77"/>
        <v>153.70239698884021</v>
      </c>
      <c r="Z65" s="46">
        <f t="shared" si="77"/>
        <v>196.88274329847584</v>
      </c>
      <c r="AA65" s="47">
        <f t="shared" si="77"/>
        <v>282.19975580867299</v>
      </c>
    </row>
    <row r="66" spans="1:27" ht="12.75" customHeight="1" x14ac:dyDescent="0.2">
      <c r="A66" s="5"/>
      <c r="B66" s="38">
        <f>$B$32</f>
        <v>5000000</v>
      </c>
      <c r="C66" s="51">
        <f t="shared" ref="C66:I66" si="78">C49 + $M$13</f>
        <v>514.60084094059414</v>
      </c>
      <c r="D66" s="52">
        <f t="shared" si="78"/>
        <v>411.67467828232907</v>
      </c>
      <c r="E66" s="52">
        <f t="shared" si="78"/>
        <v>355.95900074803956</v>
      </c>
      <c r="F66" s="52">
        <f t="shared" si="78"/>
        <v>351.58265212725598</v>
      </c>
      <c r="G66" s="52">
        <f t="shared" si="78"/>
        <v>347.85223370724623</v>
      </c>
      <c r="H66" s="52">
        <f t="shared" si="78"/>
        <v>351.37836855955072</v>
      </c>
      <c r="I66" s="53">
        <f t="shared" si="78"/>
        <v>368.36309060567572</v>
      </c>
      <c r="J66" s="5"/>
      <c r="K66" s="38">
        <f>$B$32</f>
        <v>5000000</v>
      </c>
      <c r="L66" s="51">
        <f t="shared" ref="L66:R66" si="79">L49 + $M$13</f>
        <v>164.27186190215764</v>
      </c>
      <c r="M66" s="52">
        <f t="shared" si="79"/>
        <v>155.59629330150869</v>
      </c>
      <c r="N66" s="52">
        <f t="shared" si="79"/>
        <v>158.34695504732352</v>
      </c>
      <c r="O66" s="52">
        <f t="shared" si="79"/>
        <v>160.84153242828441</v>
      </c>
      <c r="P66" s="52">
        <f t="shared" si="79"/>
        <v>166.32613408585775</v>
      </c>
      <c r="Q66" s="52">
        <f t="shared" si="79"/>
        <v>189.60075432816041</v>
      </c>
      <c r="R66" s="53">
        <f t="shared" si="79"/>
        <v>235.36962308297987</v>
      </c>
      <c r="S66" s="5"/>
      <c r="T66" s="38">
        <f>$B$32</f>
        <v>5000000</v>
      </c>
      <c r="U66" s="51">
        <f t="shared" ref="U66:AA66" si="80">U49 + $M$13</f>
        <v>117.13507119885166</v>
      </c>
      <c r="V66" s="52">
        <f t="shared" si="80"/>
        <v>122.4301926904138</v>
      </c>
      <c r="W66" s="52">
        <f t="shared" si="80"/>
        <v>138.59021753222487</v>
      </c>
      <c r="X66" s="52">
        <f t="shared" si="80"/>
        <v>143.96860104013945</v>
      </c>
      <c r="Y66" s="52">
        <f t="shared" si="80"/>
        <v>154.69785455954377</v>
      </c>
      <c r="Z66" s="52">
        <f t="shared" si="80"/>
        <v>197.31949618498038</v>
      </c>
      <c r="AA66" s="53">
        <f t="shared" si="80"/>
        <v>281.73576013738625</v>
      </c>
    </row>
    <row r="67" spans="1:27" ht="12.75" customHeight="1" x14ac:dyDescent="0.2">
      <c r="A67" s="5"/>
      <c r="B67" s="6"/>
      <c r="C67" s="6"/>
      <c r="D67" s="6"/>
      <c r="E67" s="6"/>
      <c r="F67" s="6"/>
      <c r="G67" s="6"/>
      <c r="H67" s="6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customHeight="1" x14ac:dyDescent="0.2">
      <c r="A69" s="5"/>
      <c r="B69" s="5"/>
      <c r="C69" s="5"/>
      <c r="D69" s="5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customHeight="1" x14ac:dyDescent="0.2">
      <c r="A102" s="5"/>
      <c r="B102" s="5"/>
      <c r="C102" s="55"/>
      <c r="D102" s="56"/>
      <c r="E102" s="56"/>
      <c r="F102" s="5"/>
      <c r="G102" s="5"/>
      <c r="H102" s="5"/>
      <c r="I102" s="5"/>
      <c r="J102" s="55"/>
      <c r="K102" s="5"/>
      <c r="L102" s="5"/>
      <c r="M102" s="5"/>
      <c r="N102" s="5"/>
      <c r="O102" s="5"/>
      <c r="P102" s="5"/>
      <c r="Q102" s="5"/>
      <c r="R102" s="5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customHeight="1" x14ac:dyDescent="0.2">
      <c r="A103" s="5"/>
      <c r="B103" s="5"/>
      <c r="C103" s="5"/>
      <c r="D103" s="5"/>
      <c r="E103" s="57"/>
      <c r="F103" s="57"/>
      <c r="G103" s="57"/>
      <c r="H103" s="57"/>
      <c r="I103" s="57"/>
      <c r="J103" s="5"/>
      <c r="K103" s="5"/>
      <c r="L103" s="57"/>
      <c r="M103" s="57"/>
      <c r="N103" s="57"/>
      <c r="O103" s="57"/>
      <c r="P103" s="57"/>
      <c r="Q103" s="57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53">
    <mergeCell ref="C34:I34"/>
    <mergeCell ref="L34:R34"/>
    <mergeCell ref="U34:AA34"/>
    <mergeCell ref="U15:AA15"/>
    <mergeCell ref="C15:I15"/>
    <mergeCell ref="C17:I17"/>
    <mergeCell ref="L17:R17"/>
    <mergeCell ref="U17:AA17"/>
    <mergeCell ref="B8:C8"/>
    <mergeCell ref="D8:E8"/>
    <mergeCell ref="F8:G8"/>
    <mergeCell ref="H8:I8"/>
    <mergeCell ref="D9:E9"/>
    <mergeCell ref="F9:G9"/>
    <mergeCell ref="H9:I9"/>
    <mergeCell ref="F7:G7"/>
    <mergeCell ref="H7:I7"/>
    <mergeCell ref="K7:L7"/>
    <mergeCell ref="B5:C5"/>
    <mergeCell ref="B6:C6"/>
    <mergeCell ref="D6:E6"/>
    <mergeCell ref="F6:G6"/>
    <mergeCell ref="H6:I6"/>
    <mergeCell ref="B7:C7"/>
    <mergeCell ref="D7:E7"/>
    <mergeCell ref="D4:E4"/>
    <mergeCell ref="F4:G4"/>
    <mergeCell ref="H4:I4"/>
    <mergeCell ref="K4:M4"/>
    <mergeCell ref="D5:E5"/>
    <mergeCell ref="F5:G5"/>
    <mergeCell ref="H5:I5"/>
    <mergeCell ref="B11:C11"/>
    <mergeCell ref="D11:E11"/>
    <mergeCell ref="C51:I51"/>
    <mergeCell ref="L51:R51"/>
    <mergeCell ref="U51:AA51"/>
    <mergeCell ref="F11:G11"/>
    <mergeCell ref="H11:I11"/>
    <mergeCell ref="D12:E12"/>
    <mergeCell ref="F12:G12"/>
    <mergeCell ref="H12:I12"/>
    <mergeCell ref="B13:C13"/>
    <mergeCell ref="D13:E13"/>
    <mergeCell ref="F13:G13"/>
    <mergeCell ref="H13:I13"/>
    <mergeCell ref="K13:L13"/>
    <mergeCell ref="L15:R15"/>
    <mergeCell ref="B10:C10"/>
    <mergeCell ref="D10:E10"/>
    <mergeCell ref="F10:G10"/>
    <mergeCell ref="H10:I10"/>
    <mergeCell ref="K10:L10"/>
  </mergeCells>
  <conditionalFormatting sqref="C19:I32 L19:R32 U19:AA32">
    <cfRule type="colorScale" priority="1">
      <colorScale>
        <cfvo type="min"/>
        <cfvo type="percentile" val="50"/>
        <cfvo type="max"/>
        <color rgb="FFF8696B"/>
        <color rgb="FFD8D8D8"/>
        <color rgb="FF63BE7B"/>
      </colorScale>
    </cfRule>
  </conditionalFormatting>
  <conditionalFormatting sqref="C36:I49 C19:I32 C53:I66">
    <cfRule type="expression" dxfId="2" priority="3">
      <formula>$B19&lt;$D$13</formula>
    </cfRule>
  </conditionalFormatting>
  <conditionalFormatting sqref="C36:I49 L36:R49 U36:AA49">
    <cfRule type="colorScale" priority="2">
      <colorScale>
        <cfvo type="min"/>
        <cfvo type="percentile" val="50"/>
        <cfvo type="max"/>
        <color rgb="FF63BE7B"/>
        <color rgb="FFD8D8D8"/>
        <color rgb="FFF8696B"/>
      </colorScale>
    </cfRule>
  </conditionalFormatting>
  <conditionalFormatting sqref="C53:I66 L53:R66 U53:AA66">
    <cfRule type="colorScale" priority="4">
      <colorScale>
        <cfvo type="min"/>
        <cfvo type="percentile" val="50"/>
        <cfvo type="max"/>
        <color rgb="FF63BE7B"/>
        <color rgb="FFD8D8D8"/>
        <color rgb="FFF8696B"/>
      </colorScale>
    </cfRule>
  </conditionalFormatting>
  <conditionalFormatting sqref="L53:R66 L36:R49 L19:R32">
    <cfRule type="expression" dxfId="1" priority="5">
      <formula>$K19&lt;$F$13</formula>
    </cfRule>
  </conditionalFormatting>
  <conditionalFormatting sqref="U53:AA66 U36:AA49 U19:AA32">
    <cfRule type="expression" dxfId="0" priority="6">
      <formula>$T19&lt;$H$13</formula>
    </cfRule>
  </conditionalFormatting>
  <dataValidations count="2">
    <dataValidation type="decimal" operator="greaterThanOrEqual" allowBlank="1" showErrorMessage="1" sqref="M13 C18:I18 B19:B32" xr:uid="{00000000-0002-0000-0100-000000000000}">
      <formula1>0</formula1>
    </dataValidation>
    <dataValidation type="decimal" operator="greaterThanOrEqual" allowBlank="1" showErrorMessage="1" sqref="D11 F11 H11" xr:uid="{00000000-0002-0000-0100-000001000000}">
      <formula1>1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4.5" customWidth="1"/>
    <col min="2" max="2" width="16" customWidth="1"/>
    <col min="3" max="26" width="8.6640625" customWidth="1"/>
  </cols>
  <sheetData>
    <row r="1" spans="1:26" ht="18" customHeight="1" x14ac:dyDescent="0.2">
      <c r="A1" s="58" t="s">
        <v>37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8.75" customHeight="1" x14ac:dyDescent="0.2">
      <c r="A2" s="60" t="s">
        <v>38</v>
      </c>
      <c r="B2" s="60" t="s">
        <v>29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8.75" customHeight="1" x14ac:dyDescent="0.2">
      <c r="A3" s="60" t="s">
        <v>39</v>
      </c>
      <c r="B3" s="61">
        <v>100000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8.75" customHeight="1" x14ac:dyDescent="0.2">
      <c r="A4" s="60" t="s">
        <v>40</v>
      </c>
      <c r="B4" s="61" t="s">
        <v>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8.75" customHeight="1" x14ac:dyDescent="0.2">
      <c r="A5" s="60" t="s">
        <v>42</v>
      </c>
      <c r="B5" s="60" t="s">
        <v>43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8.75" customHeight="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8.75" customHeight="1" x14ac:dyDescent="0.2">
      <c r="A7" s="58" t="s">
        <v>44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8.75" customHeight="1" x14ac:dyDescent="0.2">
      <c r="A8" s="60" t="s">
        <v>45</v>
      </c>
      <c r="B8" s="62" t="s">
        <v>46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8.75" customHeight="1" x14ac:dyDescent="0.2">
      <c r="A9" s="60" t="s">
        <v>47</v>
      </c>
      <c r="B9" s="60" t="s">
        <v>48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8.75" customHeight="1" x14ac:dyDescent="0.2">
      <c r="A10" s="60" t="s">
        <v>49</v>
      </c>
      <c r="B10" s="60" t="s">
        <v>50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8.75" customHeight="1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8.75" customHeight="1" x14ac:dyDescent="0.2">
      <c r="A12" s="58" t="s">
        <v>51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8.75" customHeight="1" x14ac:dyDescent="0.2">
      <c r="A13" s="60" t="s">
        <v>52</v>
      </c>
      <c r="B13" s="63">
        <v>0.35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x14ac:dyDescent="0.2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2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2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2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2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2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2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2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2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2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2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2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2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2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2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2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2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2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2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2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2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2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2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2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2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2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2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2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2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2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2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2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2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2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2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2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2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2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2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2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2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2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2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2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2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2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2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2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2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2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2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2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2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2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2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2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2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2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2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2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2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2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2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2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2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2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2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2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2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2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2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2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2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2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2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2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2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2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2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2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2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2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2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2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2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2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2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2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2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2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2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2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2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2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2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2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2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2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2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2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2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2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2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2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2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2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2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2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2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2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2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2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2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2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2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2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2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2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2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2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2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2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2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2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2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2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2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2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2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2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2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2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2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2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2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2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2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2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2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2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2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2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2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2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2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2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2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2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2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2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2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2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2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2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2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2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2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2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2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2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2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2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2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2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2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2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2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2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2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2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2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2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2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2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2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2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2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2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2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2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2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2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2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2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2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2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2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2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2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2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2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2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2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5.75" customHeight="1" x14ac:dyDescent="0.2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5.75" customHeight="1" x14ac:dyDescent="0.2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5.75" customHeight="1" x14ac:dyDescent="0.2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5.75" customHeight="1" x14ac:dyDescent="0.2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5.75" customHeight="1" x14ac:dyDescent="0.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5.75" customHeight="1" x14ac:dyDescent="0.2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5.75" customHeight="1" x14ac:dyDescent="0.2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5.75" customHeight="1" x14ac:dyDescent="0.2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5.75" customHeight="1" x14ac:dyDescent="0.2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5.75" customHeight="1" x14ac:dyDescent="0.2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5.75" customHeight="1" x14ac:dyDescent="0.2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5.75" customHeight="1" x14ac:dyDescent="0.2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5.75" customHeight="1" x14ac:dyDescent="0.2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5.75" customHeight="1" x14ac:dyDescent="0.2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5.75" customHeight="1" x14ac:dyDescent="0.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5.75" customHeight="1" x14ac:dyDescent="0.2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5.75" customHeight="1" x14ac:dyDescent="0.2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5.75" customHeight="1" x14ac:dyDescent="0.2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5.75" customHeight="1" x14ac:dyDescent="0.2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5.75" customHeight="1" x14ac:dyDescent="0.2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5.75" customHeight="1" x14ac:dyDescent="0.2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5.75" customHeight="1" x14ac:dyDescent="0.2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5.75" customHeight="1" x14ac:dyDescent="0.2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5.75" customHeight="1" x14ac:dyDescent="0.2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5.75" customHeight="1" x14ac:dyDescent="0.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5.75" customHeight="1" x14ac:dyDescent="0.2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5.75" customHeight="1" x14ac:dyDescent="0.2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5.75" customHeight="1" x14ac:dyDescent="0.2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5.75" customHeight="1" x14ac:dyDescent="0.2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5.75" customHeight="1" x14ac:dyDescent="0.2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5.75" customHeight="1" x14ac:dyDescent="0.2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5.75" customHeight="1" x14ac:dyDescent="0.2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5.75" customHeight="1" x14ac:dyDescent="0.2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5.75" customHeight="1" x14ac:dyDescent="0.2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5.75" customHeight="1" x14ac:dyDescent="0.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5.75" customHeight="1" x14ac:dyDescent="0.2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5.75" customHeight="1" x14ac:dyDescent="0.2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5.75" customHeight="1" x14ac:dyDescent="0.2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5.75" customHeight="1" x14ac:dyDescent="0.2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5.75" customHeight="1" x14ac:dyDescent="0.2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5.75" customHeight="1" x14ac:dyDescent="0.2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5.75" customHeight="1" x14ac:dyDescent="0.2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5.75" customHeight="1" x14ac:dyDescent="0.2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5.75" customHeight="1" x14ac:dyDescent="0.2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5.75" customHeight="1" x14ac:dyDescent="0.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5.75" customHeight="1" x14ac:dyDescent="0.2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5.75" customHeight="1" x14ac:dyDescent="0.2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5.75" customHeight="1" x14ac:dyDescent="0.2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5.75" customHeight="1" x14ac:dyDescent="0.2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5.75" customHeight="1" x14ac:dyDescent="0.2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5.75" customHeight="1" x14ac:dyDescent="0.2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5.75" customHeight="1" x14ac:dyDescent="0.2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5.75" customHeight="1" x14ac:dyDescent="0.2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5.75" customHeight="1" x14ac:dyDescent="0.2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5.75" customHeight="1" x14ac:dyDescent="0.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5.75" customHeight="1" x14ac:dyDescent="0.2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5.75" customHeight="1" x14ac:dyDescent="0.2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5.75" customHeight="1" x14ac:dyDescent="0.2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5.75" customHeight="1" x14ac:dyDescent="0.2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5.75" customHeight="1" x14ac:dyDescent="0.2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5.75" customHeight="1" x14ac:dyDescent="0.2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5.75" customHeight="1" x14ac:dyDescent="0.2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5.75" customHeight="1" x14ac:dyDescent="0.2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5.75" customHeight="1" x14ac:dyDescent="0.2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5.75" customHeight="1" x14ac:dyDescent="0.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5.75" customHeight="1" x14ac:dyDescent="0.2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5.75" customHeight="1" x14ac:dyDescent="0.2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5.75" customHeight="1" x14ac:dyDescent="0.2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5.75" customHeight="1" x14ac:dyDescent="0.2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5.75" customHeight="1" x14ac:dyDescent="0.2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5.75" customHeight="1" x14ac:dyDescent="0.2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5.75" customHeight="1" x14ac:dyDescent="0.2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5.75" customHeight="1" x14ac:dyDescent="0.2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5.75" customHeight="1" x14ac:dyDescent="0.2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5.75" customHeight="1" x14ac:dyDescent="0.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5.75" customHeight="1" x14ac:dyDescent="0.2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5.75" customHeight="1" x14ac:dyDescent="0.2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5.75" customHeight="1" x14ac:dyDescent="0.2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5.75" customHeight="1" x14ac:dyDescent="0.2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5.75" customHeight="1" x14ac:dyDescent="0.2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5.75" customHeight="1" x14ac:dyDescent="0.2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5.75" customHeight="1" x14ac:dyDescent="0.2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5.75" customHeight="1" x14ac:dyDescent="0.2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5.75" customHeight="1" x14ac:dyDescent="0.2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5.75" customHeight="1" x14ac:dyDescent="0.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5.75" customHeight="1" x14ac:dyDescent="0.2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5.75" customHeight="1" x14ac:dyDescent="0.2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5.75" customHeight="1" x14ac:dyDescent="0.2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5.75" customHeight="1" x14ac:dyDescent="0.2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5.75" customHeight="1" x14ac:dyDescent="0.2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5.75" customHeight="1" x14ac:dyDescent="0.2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5.75" customHeight="1" x14ac:dyDescent="0.2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5.75" customHeight="1" x14ac:dyDescent="0.2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5.75" customHeight="1" x14ac:dyDescent="0.2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5.75" customHeight="1" x14ac:dyDescent="0.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5.75" customHeight="1" x14ac:dyDescent="0.2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5.75" customHeight="1" x14ac:dyDescent="0.2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5.75" customHeight="1" x14ac:dyDescent="0.2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5.75" customHeight="1" x14ac:dyDescent="0.2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5.75" customHeight="1" x14ac:dyDescent="0.2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5.75" customHeight="1" x14ac:dyDescent="0.2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5.75" customHeight="1" x14ac:dyDescent="0.2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5.75" customHeight="1" x14ac:dyDescent="0.2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5.75" customHeight="1" x14ac:dyDescent="0.2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5.75" customHeight="1" x14ac:dyDescent="0.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5.75" customHeight="1" x14ac:dyDescent="0.2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5.75" customHeight="1" x14ac:dyDescent="0.2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5.75" customHeight="1" x14ac:dyDescent="0.2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5.75" customHeight="1" x14ac:dyDescent="0.2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5.75" customHeight="1" x14ac:dyDescent="0.2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5.75" customHeight="1" x14ac:dyDescent="0.2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5.75" customHeight="1" x14ac:dyDescent="0.2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5.75" customHeight="1" x14ac:dyDescent="0.2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5.75" customHeight="1" x14ac:dyDescent="0.2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5.75" customHeight="1" x14ac:dyDescent="0.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5.75" customHeight="1" x14ac:dyDescent="0.2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5.75" customHeight="1" x14ac:dyDescent="0.2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5.75" customHeight="1" x14ac:dyDescent="0.2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5.75" customHeight="1" x14ac:dyDescent="0.2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5.75" customHeight="1" x14ac:dyDescent="0.2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5.75" customHeight="1" x14ac:dyDescent="0.2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5.75" customHeight="1" x14ac:dyDescent="0.2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5.75" customHeight="1" x14ac:dyDescent="0.2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5.75" customHeight="1" x14ac:dyDescent="0.2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5.75" customHeight="1" x14ac:dyDescent="0.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5.75" customHeight="1" x14ac:dyDescent="0.2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5.75" customHeight="1" x14ac:dyDescent="0.2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5.75" customHeight="1" x14ac:dyDescent="0.2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5.75" customHeight="1" x14ac:dyDescent="0.2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5.75" customHeight="1" x14ac:dyDescent="0.2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5.75" customHeight="1" x14ac:dyDescent="0.2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5.75" customHeight="1" x14ac:dyDescent="0.2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5.75" customHeight="1" x14ac:dyDescent="0.2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5.75" customHeight="1" x14ac:dyDescent="0.2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5.75" customHeight="1" x14ac:dyDescent="0.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5.75" customHeight="1" x14ac:dyDescent="0.2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5.75" customHeight="1" x14ac:dyDescent="0.2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5.75" customHeight="1" x14ac:dyDescent="0.2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5.75" customHeight="1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5.75" customHeight="1" x14ac:dyDescent="0.2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5.75" customHeight="1" x14ac:dyDescent="0.2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5.75" customHeight="1" x14ac:dyDescent="0.2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5.75" customHeight="1" x14ac:dyDescent="0.2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5.75" customHeight="1" x14ac:dyDescent="0.2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5.75" customHeight="1" x14ac:dyDescent="0.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5.75" customHeight="1" x14ac:dyDescent="0.2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5.75" customHeight="1" x14ac:dyDescent="0.2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5.75" customHeight="1" x14ac:dyDescent="0.2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5.75" customHeight="1" x14ac:dyDescent="0.2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5.75" customHeight="1" x14ac:dyDescent="0.2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5.75" customHeight="1" x14ac:dyDescent="0.2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5.75" customHeight="1" x14ac:dyDescent="0.2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5.75" customHeight="1" x14ac:dyDescent="0.2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5.75" customHeight="1" x14ac:dyDescent="0.2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5.75" customHeight="1" x14ac:dyDescent="0.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5.75" customHeight="1" x14ac:dyDescent="0.2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5.75" customHeight="1" x14ac:dyDescent="0.2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5.75" customHeight="1" x14ac:dyDescent="0.2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5.75" customHeight="1" x14ac:dyDescent="0.2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5.75" customHeight="1" x14ac:dyDescent="0.2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5.75" customHeight="1" x14ac:dyDescent="0.2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5.75" customHeight="1" x14ac:dyDescent="0.2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5.75" customHeight="1" x14ac:dyDescent="0.2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5.75" customHeight="1" x14ac:dyDescent="0.2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5.75" customHeight="1" x14ac:dyDescent="0.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5.75" customHeight="1" x14ac:dyDescent="0.2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5.75" customHeight="1" x14ac:dyDescent="0.2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5.75" customHeight="1" x14ac:dyDescent="0.2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5.75" customHeight="1" x14ac:dyDescent="0.2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5.75" customHeight="1" x14ac:dyDescent="0.2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5.75" customHeight="1" x14ac:dyDescent="0.2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5.75" customHeight="1" x14ac:dyDescent="0.2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5.75" customHeight="1" x14ac:dyDescent="0.2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5.75" customHeight="1" x14ac:dyDescent="0.2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5.75" customHeight="1" x14ac:dyDescent="0.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5.75" customHeight="1" x14ac:dyDescent="0.2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5.75" customHeight="1" x14ac:dyDescent="0.2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5.75" customHeight="1" x14ac:dyDescent="0.2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5.75" customHeight="1" x14ac:dyDescent="0.2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5.75" customHeight="1" x14ac:dyDescent="0.2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5.75" customHeight="1" x14ac:dyDescent="0.2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5.75" customHeight="1" x14ac:dyDescent="0.2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5.75" customHeight="1" x14ac:dyDescent="0.2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5.75" customHeight="1" x14ac:dyDescent="0.2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5.75" customHeight="1" x14ac:dyDescent="0.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5.75" customHeight="1" x14ac:dyDescent="0.2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5.75" customHeight="1" x14ac:dyDescent="0.2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5.75" customHeight="1" x14ac:dyDescent="0.2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5.75" customHeight="1" x14ac:dyDescent="0.2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5.75" customHeight="1" x14ac:dyDescent="0.2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5.75" customHeight="1" x14ac:dyDescent="0.2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5.75" customHeight="1" x14ac:dyDescent="0.2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5.75" customHeight="1" x14ac:dyDescent="0.2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5.75" customHeight="1" x14ac:dyDescent="0.2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5.75" customHeight="1" x14ac:dyDescent="0.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5.75" customHeight="1" x14ac:dyDescent="0.2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5.75" customHeight="1" x14ac:dyDescent="0.2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5.75" customHeight="1" x14ac:dyDescent="0.2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5.75" customHeight="1" x14ac:dyDescent="0.2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5.75" customHeight="1" x14ac:dyDescent="0.2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5.75" customHeight="1" x14ac:dyDescent="0.2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5.75" customHeight="1" x14ac:dyDescent="0.2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5.75" customHeight="1" x14ac:dyDescent="0.2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5.75" customHeight="1" x14ac:dyDescent="0.2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5.75" customHeight="1" x14ac:dyDescent="0.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5.75" customHeight="1" x14ac:dyDescent="0.2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5.75" customHeight="1" x14ac:dyDescent="0.2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5.75" customHeight="1" x14ac:dyDescent="0.2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5.75" customHeight="1" x14ac:dyDescent="0.2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5.75" customHeight="1" x14ac:dyDescent="0.2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5.75" customHeight="1" x14ac:dyDescent="0.2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5.75" customHeight="1" x14ac:dyDescent="0.2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5.75" customHeight="1" x14ac:dyDescent="0.2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5.75" customHeight="1" x14ac:dyDescent="0.2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5.75" customHeight="1" x14ac:dyDescent="0.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5.75" customHeight="1" x14ac:dyDescent="0.2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5.75" customHeight="1" x14ac:dyDescent="0.2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5.75" customHeight="1" x14ac:dyDescent="0.2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5.75" customHeight="1" x14ac:dyDescent="0.2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5.75" customHeight="1" x14ac:dyDescent="0.2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5.75" customHeight="1" x14ac:dyDescent="0.2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5.75" customHeight="1" x14ac:dyDescent="0.2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5.75" customHeight="1" x14ac:dyDescent="0.2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5.75" customHeight="1" x14ac:dyDescent="0.2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5.75" customHeight="1" x14ac:dyDescent="0.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5.75" customHeight="1" x14ac:dyDescent="0.2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5.75" customHeight="1" x14ac:dyDescent="0.2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5.75" customHeight="1" x14ac:dyDescent="0.2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5.75" customHeight="1" x14ac:dyDescent="0.2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5.75" customHeight="1" x14ac:dyDescent="0.2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5.75" customHeight="1" x14ac:dyDescent="0.2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5.75" customHeight="1" x14ac:dyDescent="0.2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5.75" customHeight="1" x14ac:dyDescent="0.2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5.75" customHeight="1" x14ac:dyDescent="0.2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5.75" customHeight="1" x14ac:dyDescent="0.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5.75" customHeight="1" x14ac:dyDescent="0.2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5.75" customHeight="1" x14ac:dyDescent="0.2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5.75" customHeight="1" x14ac:dyDescent="0.2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5.75" customHeight="1" x14ac:dyDescent="0.2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5.75" customHeight="1" x14ac:dyDescent="0.2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5.75" customHeight="1" x14ac:dyDescent="0.2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5.75" customHeight="1" x14ac:dyDescent="0.2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5.75" customHeight="1" x14ac:dyDescent="0.2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5.75" customHeight="1" x14ac:dyDescent="0.2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5.75" customHeight="1" x14ac:dyDescent="0.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5.75" customHeight="1" x14ac:dyDescent="0.2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5.75" customHeight="1" x14ac:dyDescent="0.2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5.75" customHeight="1" x14ac:dyDescent="0.2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5.75" customHeight="1" x14ac:dyDescent="0.2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5.75" customHeight="1" x14ac:dyDescent="0.2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5.75" customHeight="1" x14ac:dyDescent="0.2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5.75" customHeight="1" x14ac:dyDescent="0.2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5.75" customHeight="1" x14ac:dyDescent="0.2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5.75" customHeight="1" x14ac:dyDescent="0.2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5.75" customHeight="1" x14ac:dyDescent="0.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5.75" customHeight="1" x14ac:dyDescent="0.2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5.75" customHeight="1" x14ac:dyDescent="0.2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5.75" customHeight="1" x14ac:dyDescent="0.2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5.75" customHeight="1" x14ac:dyDescent="0.2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5.75" customHeight="1" x14ac:dyDescent="0.2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5.75" customHeight="1" x14ac:dyDescent="0.2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5.75" customHeight="1" x14ac:dyDescent="0.2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5.75" customHeight="1" x14ac:dyDescent="0.2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5.75" customHeight="1" x14ac:dyDescent="0.2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5.75" customHeight="1" x14ac:dyDescent="0.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5.75" customHeight="1" x14ac:dyDescent="0.2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5.75" customHeight="1" x14ac:dyDescent="0.2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5.75" customHeight="1" x14ac:dyDescent="0.2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5.75" customHeight="1" x14ac:dyDescent="0.2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5.75" customHeight="1" x14ac:dyDescent="0.2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5.75" customHeight="1" x14ac:dyDescent="0.2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5.75" customHeight="1" x14ac:dyDescent="0.2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5.75" customHeight="1" x14ac:dyDescent="0.2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5.75" customHeight="1" x14ac:dyDescent="0.2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5.75" customHeight="1" x14ac:dyDescent="0.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5.75" customHeight="1" x14ac:dyDescent="0.2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5.75" customHeight="1" x14ac:dyDescent="0.2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5.75" customHeight="1" x14ac:dyDescent="0.2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5.75" customHeight="1" x14ac:dyDescent="0.2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5.75" customHeight="1" x14ac:dyDescent="0.2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5.75" customHeight="1" x14ac:dyDescent="0.2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5.75" customHeight="1" x14ac:dyDescent="0.2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5.75" customHeight="1" x14ac:dyDescent="0.2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5.75" customHeight="1" x14ac:dyDescent="0.2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5.75" customHeight="1" x14ac:dyDescent="0.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5.75" customHeight="1" x14ac:dyDescent="0.2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5.75" customHeight="1" x14ac:dyDescent="0.2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5.75" customHeight="1" x14ac:dyDescent="0.2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5.75" customHeight="1" x14ac:dyDescent="0.2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5.75" customHeight="1" x14ac:dyDescent="0.2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5.75" customHeight="1" x14ac:dyDescent="0.2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5.75" customHeight="1" x14ac:dyDescent="0.2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5.75" customHeight="1" x14ac:dyDescent="0.2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5.75" customHeight="1" x14ac:dyDescent="0.2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5.75" customHeight="1" x14ac:dyDescent="0.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5.75" customHeight="1" x14ac:dyDescent="0.2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5.75" customHeight="1" x14ac:dyDescent="0.2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5.75" customHeight="1" x14ac:dyDescent="0.2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5.75" customHeight="1" x14ac:dyDescent="0.2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5.75" customHeight="1" x14ac:dyDescent="0.2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5.75" customHeight="1" x14ac:dyDescent="0.2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5.75" customHeight="1" x14ac:dyDescent="0.2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5.75" customHeight="1" x14ac:dyDescent="0.2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5.75" customHeight="1" x14ac:dyDescent="0.2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5.75" customHeight="1" x14ac:dyDescent="0.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5.75" customHeight="1" x14ac:dyDescent="0.2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5.75" customHeight="1" x14ac:dyDescent="0.2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5.75" customHeight="1" x14ac:dyDescent="0.2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5.75" customHeight="1" x14ac:dyDescent="0.2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5.75" customHeight="1" x14ac:dyDescent="0.2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5.75" customHeight="1" x14ac:dyDescent="0.2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5.75" customHeight="1" x14ac:dyDescent="0.2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5.75" customHeight="1" x14ac:dyDescent="0.2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5.75" customHeight="1" x14ac:dyDescent="0.2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5.75" customHeight="1" x14ac:dyDescent="0.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5.75" customHeight="1" x14ac:dyDescent="0.2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5.75" customHeight="1" x14ac:dyDescent="0.2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5.75" customHeight="1" x14ac:dyDescent="0.2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5.75" customHeight="1" x14ac:dyDescent="0.2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5.75" customHeight="1" x14ac:dyDescent="0.2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5.75" customHeight="1" x14ac:dyDescent="0.2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5.75" customHeight="1" x14ac:dyDescent="0.2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5.75" customHeight="1" x14ac:dyDescent="0.2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5.75" customHeight="1" x14ac:dyDescent="0.2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5.75" customHeight="1" x14ac:dyDescent="0.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5.75" customHeight="1" x14ac:dyDescent="0.2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5.75" customHeight="1" x14ac:dyDescent="0.2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5.75" customHeight="1" x14ac:dyDescent="0.2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5.75" customHeight="1" x14ac:dyDescent="0.2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5.75" customHeight="1" x14ac:dyDescent="0.2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5.75" customHeight="1" x14ac:dyDescent="0.2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5.75" customHeight="1" x14ac:dyDescent="0.2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5.75" customHeight="1" x14ac:dyDescent="0.2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5.75" customHeight="1" x14ac:dyDescent="0.2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5.75" customHeight="1" x14ac:dyDescent="0.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5.75" customHeight="1" x14ac:dyDescent="0.2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5.75" customHeight="1" x14ac:dyDescent="0.2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5.75" customHeight="1" x14ac:dyDescent="0.2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5.75" customHeight="1" x14ac:dyDescent="0.2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5.75" customHeight="1" x14ac:dyDescent="0.2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5.75" customHeight="1" x14ac:dyDescent="0.2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5.75" customHeight="1" x14ac:dyDescent="0.2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5.75" customHeight="1" x14ac:dyDescent="0.2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5.75" customHeight="1" x14ac:dyDescent="0.2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5.75" customHeight="1" x14ac:dyDescent="0.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5.75" customHeight="1" x14ac:dyDescent="0.2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5.75" customHeight="1" x14ac:dyDescent="0.2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5.75" customHeight="1" x14ac:dyDescent="0.2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5.75" customHeight="1" x14ac:dyDescent="0.2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5.75" customHeight="1" x14ac:dyDescent="0.2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5.75" customHeight="1" x14ac:dyDescent="0.2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5.75" customHeight="1" x14ac:dyDescent="0.2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5.75" customHeight="1" x14ac:dyDescent="0.2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5.75" customHeight="1" x14ac:dyDescent="0.2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5.75" customHeight="1" x14ac:dyDescent="0.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5.75" customHeight="1" x14ac:dyDescent="0.2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5.75" customHeight="1" x14ac:dyDescent="0.2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5.75" customHeight="1" x14ac:dyDescent="0.2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5.75" customHeight="1" x14ac:dyDescent="0.2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5.75" customHeight="1" x14ac:dyDescent="0.2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5.75" customHeight="1" x14ac:dyDescent="0.2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5.75" customHeight="1" x14ac:dyDescent="0.2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5.75" customHeight="1" x14ac:dyDescent="0.2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5.75" customHeight="1" x14ac:dyDescent="0.2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5.75" customHeight="1" x14ac:dyDescent="0.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5.75" customHeight="1" x14ac:dyDescent="0.2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5.75" customHeight="1" x14ac:dyDescent="0.2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5.75" customHeight="1" x14ac:dyDescent="0.2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5.75" customHeight="1" x14ac:dyDescent="0.2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5.75" customHeight="1" x14ac:dyDescent="0.2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5.75" customHeight="1" x14ac:dyDescent="0.2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5.75" customHeight="1" x14ac:dyDescent="0.2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5.75" customHeight="1" x14ac:dyDescent="0.2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5.75" customHeight="1" x14ac:dyDescent="0.2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5.75" customHeight="1" x14ac:dyDescent="0.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5.75" customHeight="1" x14ac:dyDescent="0.2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5.75" customHeight="1" x14ac:dyDescent="0.2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5.75" customHeight="1" x14ac:dyDescent="0.2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5.75" customHeight="1" x14ac:dyDescent="0.2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5.75" customHeight="1" x14ac:dyDescent="0.2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5.75" customHeight="1" x14ac:dyDescent="0.2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5.75" customHeight="1" x14ac:dyDescent="0.2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5.75" customHeight="1" x14ac:dyDescent="0.2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5.75" customHeight="1" x14ac:dyDescent="0.2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5.75" customHeight="1" x14ac:dyDescent="0.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5.75" customHeight="1" x14ac:dyDescent="0.2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5.75" customHeight="1" x14ac:dyDescent="0.2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5.75" customHeight="1" x14ac:dyDescent="0.2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5.75" customHeight="1" x14ac:dyDescent="0.2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5.75" customHeight="1" x14ac:dyDescent="0.2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5.75" customHeight="1" x14ac:dyDescent="0.2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5.75" customHeight="1" x14ac:dyDescent="0.2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5.75" customHeight="1" x14ac:dyDescent="0.2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5.75" customHeight="1" x14ac:dyDescent="0.2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5.75" customHeight="1" x14ac:dyDescent="0.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5.75" customHeight="1" x14ac:dyDescent="0.2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5.75" customHeight="1" x14ac:dyDescent="0.2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5.75" customHeight="1" x14ac:dyDescent="0.2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5.75" customHeight="1" x14ac:dyDescent="0.2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5.75" customHeight="1" x14ac:dyDescent="0.2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5.75" customHeight="1" x14ac:dyDescent="0.2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5.75" customHeight="1" x14ac:dyDescent="0.2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5.75" customHeight="1" x14ac:dyDescent="0.2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5.75" customHeight="1" x14ac:dyDescent="0.2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5.75" customHeight="1" x14ac:dyDescent="0.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5.75" customHeight="1" x14ac:dyDescent="0.2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5.75" customHeight="1" x14ac:dyDescent="0.2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5.75" customHeight="1" x14ac:dyDescent="0.2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5.75" customHeight="1" x14ac:dyDescent="0.2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5.75" customHeight="1" x14ac:dyDescent="0.2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5.75" customHeight="1" x14ac:dyDescent="0.2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5.75" customHeight="1" x14ac:dyDescent="0.2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5.75" customHeight="1" x14ac:dyDescent="0.2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5.75" customHeight="1" x14ac:dyDescent="0.2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5.75" customHeight="1" x14ac:dyDescent="0.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5.75" customHeight="1" x14ac:dyDescent="0.2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5.75" customHeight="1" x14ac:dyDescent="0.2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5.75" customHeight="1" x14ac:dyDescent="0.2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5.75" customHeight="1" x14ac:dyDescent="0.2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5.75" customHeight="1" x14ac:dyDescent="0.2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5.75" customHeight="1" x14ac:dyDescent="0.2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5.75" customHeight="1" x14ac:dyDescent="0.2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5.75" customHeight="1" x14ac:dyDescent="0.2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5.75" customHeight="1" x14ac:dyDescent="0.2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5.75" customHeight="1" x14ac:dyDescent="0.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5.75" customHeight="1" x14ac:dyDescent="0.2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5.75" customHeight="1" x14ac:dyDescent="0.2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5.75" customHeight="1" x14ac:dyDescent="0.2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5.75" customHeight="1" x14ac:dyDescent="0.2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5.75" customHeight="1" x14ac:dyDescent="0.2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5.75" customHeight="1" x14ac:dyDescent="0.2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5.75" customHeight="1" x14ac:dyDescent="0.2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5.75" customHeight="1" x14ac:dyDescent="0.2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5.75" customHeight="1" x14ac:dyDescent="0.2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5.75" customHeight="1" x14ac:dyDescent="0.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5.75" customHeight="1" x14ac:dyDescent="0.2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5.75" customHeight="1" x14ac:dyDescent="0.2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5.75" customHeight="1" x14ac:dyDescent="0.2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5.75" customHeight="1" x14ac:dyDescent="0.2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5.75" customHeight="1" x14ac:dyDescent="0.2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5.75" customHeight="1" x14ac:dyDescent="0.2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5.75" customHeight="1" x14ac:dyDescent="0.2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5.75" customHeight="1" x14ac:dyDescent="0.2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5.75" customHeight="1" x14ac:dyDescent="0.2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5.75" customHeight="1" x14ac:dyDescent="0.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5.75" customHeight="1" x14ac:dyDescent="0.2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5.75" customHeight="1" x14ac:dyDescent="0.2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5.75" customHeight="1" x14ac:dyDescent="0.2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5.75" customHeight="1" x14ac:dyDescent="0.2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5.75" customHeight="1" x14ac:dyDescent="0.2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5.75" customHeight="1" x14ac:dyDescent="0.2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5.75" customHeight="1" x14ac:dyDescent="0.2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5.75" customHeight="1" x14ac:dyDescent="0.2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5.75" customHeight="1" x14ac:dyDescent="0.2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5.75" customHeight="1" x14ac:dyDescent="0.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5.75" customHeight="1" x14ac:dyDescent="0.2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5.75" customHeight="1" x14ac:dyDescent="0.2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5.75" customHeight="1" x14ac:dyDescent="0.2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5.75" customHeight="1" x14ac:dyDescent="0.2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5.75" customHeight="1" x14ac:dyDescent="0.2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5.75" customHeight="1" x14ac:dyDescent="0.2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5.75" customHeight="1" x14ac:dyDescent="0.2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5.75" customHeight="1" x14ac:dyDescent="0.2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5.75" customHeight="1" x14ac:dyDescent="0.2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5.75" customHeight="1" x14ac:dyDescent="0.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5.75" customHeight="1" x14ac:dyDescent="0.2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5.75" customHeight="1" x14ac:dyDescent="0.2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5.75" customHeight="1" x14ac:dyDescent="0.2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5.75" customHeight="1" x14ac:dyDescent="0.2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5.75" customHeight="1" x14ac:dyDescent="0.2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5.75" customHeight="1" x14ac:dyDescent="0.2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5.75" customHeight="1" x14ac:dyDescent="0.2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5.75" customHeight="1" x14ac:dyDescent="0.2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5.75" customHeight="1" x14ac:dyDescent="0.2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5.75" customHeight="1" x14ac:dyDescent="0.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5.75" customHeight="1" x14ac:dyDescent="0.2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5.75" customHeight="1" x14ac:dyDescent="0.2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5.75" customHeight="1" x14ac:dyDescent="0.2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5.75" customHeight="1" x14ac:dyDescent="0.2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5.75" customHeight="1" x14ac:dyDescent="0.2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5.75" customHeight="1" x14ac:dyDescent="0.2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5.75" customHeight="1" x14ac:dyDescent="0.2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5.75" customHeight="1" x14ac:dyDescent="0.2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5.75" customHeight="1" x14ac:dyDescent="0.2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5.75" customHeight="1" x14ac:dyDescent="0.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5.75" customHeight="1" x14ac:dyDescent="0.2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5.75" customHeight="1" x14ac:dyDescent="0.2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5.75" customHeight="1" x14ac:dyDescent="0.2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5.75" customHeight="1" x14ac:dyDescent="0.2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5.75" customHeight="1" x14ac:dyDescent="0.2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5.75" customHeight="1" x14ac:dyDescent="0.2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5.75" customHeight="1" x14ac:dyDescent="0.2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5.75" customHeight="1" x14ac:dyDescent="0.2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5.75" customHeight="1" x14ac:dyDescent="0.2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5.75" customHeight="1" x14ac:dyDescent="0.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5.75" customHeight="1" x14ac:dyDescent="0.2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5.75" customHeight="1" x14ac:dyDescent="0.2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5.75" customHeight="1" x14ac:dyDescent="0.2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5.75" customHeight="1" x14ac:dyDescent="0.2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5.75" customHeight="1" x14ac:dyDescent="0.2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5.75" customHeight="1" x14ac:dyDescent="0.2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5.75" customHeight="1" x14ac:dyDescent="0.2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5.75" customHeight="1" x14ac:dyDescent="0.2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5.75" customHeight="1" x14ac:dyDescent="0.2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5.75" customHeight="1" x14ac:dyDescent="0.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5.75" customHeight="1" x14ac:dyDescent="0.2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5.75" customHeight="1" x14ac:dyDescent="0.2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5.75" customHeight="1" x14ac:dyDescent="0.2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5.75" customHeight="1" x14ac:dyDescent="0.2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5.75" customHeight="1" x14ac:dyDescent="0.2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5.75" customHeight="1" x14ac:dyDescent="0.2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5.75" customHeight="1" x14ac:dyDescent="0.2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5.75" customHeight="1" x14ac:dyDescent="0.2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5.75" customHeight="1" x14ac:dyDescent="0.2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5.75" customHeight="1" x14ac:dyDescent="0.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5.75" customHeight="1" x14ac:dyDescent="0.2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5.75" customHeight="1" x14ac:dyDescent="0.2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5.75" customHeight="1" x14ac:dyDescent="0.2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5.75" customHeight="1" x14ac:dyDescent="0.2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5.75" customHeight="1" x14ac:dyDescent="0.2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5.75" customHeight="1" x14ac:dyDescent="0.2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5.75" customHeight="1" x14ac:dyDescent="0.2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5.75" customHeight="1" x14ac:dyDescent="0.2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5.75" customHeight="1" x14ac:dyDescent="0.2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5.75" customHeight="1" x14ac:dyDescent="0.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5.75" customHeight="1" x14ac:dyDescent="0.2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5.75" customHeight="1" x14ac:dyDescent="0.2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5.75" customHeight="1" x14ac:dyDescent="0.2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5.75" customHeight="1" x14ac:dyDescent="0.2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5.75" customHeight="1" x14ac:dyDescent="0.2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5.75" customHeight="1" x14ac:dyDescent="0.2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5.75" customHeight="1" x14ac:dyDescent="0.2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5.75" customHeight="1" x14ac:dyDescent="0.2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5.75" customHeight="1" x14ac:dyDescent="0.2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5.75" customHeight="1" x14ac:dyDescent="0.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5.75" customHeight="1" x14ac:dyDescent="0.2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5.75" customHeight="1" x14ac:dyDescent="0.2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5.75" customHeight="1" x14ac:dyDescent="0.2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5.75" customHeight="1" x14ac:dyDescent="0.2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5.75" customHeight="1" x14ac:dyDescent="0.2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5.75" customHeight="1" x14ac:dyDescent="0.2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5.75" customHeight="1" x14ac:dyDescent="0.2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5.75" customHeight="1" x14ac:dyDescent="0.2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5.75" customHeight="1" x14ac:dyDescent="0.2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5.75" customHeight="1" x14ac:dyDescent="0.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5.75" customHeight="1" x14ac:dyDescent="0.2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5.75" customHeight="1" x14ac:dyDescent="0.2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5.75" customHeight="1" x14ac:dyDescent="0.2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5.75" customHeight="1" x14ac:dyDescent="0.2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5.75" customHeight="1" x14ac:dyDescent="0.2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5.75" customHeight="1" x14ac:dyDescent="0.2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5.75" customHeight="1" x14ac:dyDescent="0.2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5.75" customHeight="1" x14ac:dyDescent="0.2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5.75" customHeight="1" x14ac:dyDescent="0.2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5.75" customHeight="1" x14ac:dyDescent="0.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5.75" customHeight="1" x14ac:dyDescent="0.2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5.75" customHeight="1" x14ac:dyDescent="0.2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5.75" customHeight="1" x14ac:dyDescent="0.2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5.75" customHeight="1" x14ac:dyDescent="0.2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5.75" customHeight="1" x14ac:dyDescent="0.2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5.75" customHeight="1" x14ac:dyDescent="0.2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5.75" customHeight="1" x14ac:dyDescent="0.2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5.75" customHeight="1" x14ac:dyDescent="0.2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5.75" customHeight="1" x14ac:dyDescent="0.2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5.75" customHeight="1" x14ac:dyDescent="0.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5.75" customHeight="1" x14ac:dyDescent="0.2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5.75" customHeight="1" x14ac:dyDescent="0.2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5.75" customHeight="1" x14ac:dyDescent="0.2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5.75" customHeight="1" x14ac:dyDescent="0.2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5.75" customHeight="1" x14ac:dyDescent="0.2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5.75" customHeight="1" x14ac:dyDescent="0.2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5.75" customHeight="1" x14ac:dyDescent="0.2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5.75" customHeight="1" x14ac:dyDescent="0.2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5.75" customHeight="1" x14ac:dyDescent="0.2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5.75" customHeight="1" x14ac:dyDescent="0.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5.75" customHeight="1" x14ac:dyDescent="0.2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5.75" customHeight="1" x14ac:dyDescent="0.2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5.75" customHeight="1" x14ac:dyDescent="0.2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5.75" customHeight="1" x14ac:dyDescent="0.2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5.75" customHeight="1" x14ac:dyDescent="0.2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5.75" customHeight="1" x14ac:dyDescent="0.2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5.75" customHeight="1" x14ac:dyDescent="0.2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5.75" customHeight="1" x14ac:dyDescent="0.2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5.75" customHeight="1" x14ac:dyDescent="0.2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5.75" customHeight="1" x14ac:dyDescent="0.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5.75" customHeight="1" x14ac:dyDescent="0.2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5.75" customHeight="1" x14ac:dyDescent="0.2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5.75" customHeight="1" x14ac:dyDescent="0.2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5.75" customHeight="1" x14ac:dyDescent="0.2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5.75" customHeight="1" x14ac:dyDescent="0.2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5.75" customHeight="1" x14ac:dyDescent="0.2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5.75" customHeight="1" x14ac:dyDescent="0.2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5.75" customHeight="1" x14ac:dyDescent="0.2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5.75" customHeight="1" x14ac:dyDescent="0.2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5.75" customHeight="1" x14ac:dyDescent="0.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5.75" customHeight="1" x14ac:dyDescent="0.2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5.75" customHeight="1" x14ac:dyDescent="0.2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5.75" customHeight="1" x14ac:dyDescent="0.2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5.75" customHeight="1" x14ac:dyDescent="0.2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5.75" customHeight="1" x14ac:dyDescent="0.2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5.75" customHeight="1" x14ac:dyDescent="0.2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5.75" customHeight="1" x14ac:dyDescent="0.2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5.75" customHeight="1" x14ac:dyDescent="0.2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5.75" customHeight="1" x14ac:dyDescent="0.2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5.75" customHeight="1" x14ac:dyDescent="0.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5.75" customHeight="1" x14ac:dyDescent="0.2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5.75" customHeight="1" x14ac:dyDescent="0.2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5.75" customHeight="1" x14ac:dyDescent="0.2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5.75" customHeight="1" x14ac:dyDescent="0.2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5.75" customHeight="1" x14ac:dyDescent="0.2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5.75" customHeight="1" x14ac:dyDescent="0.2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5.75" customHeight="1" x14ac:dyDescent="0.2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5.75" customHeight="1" x14ac:dyDescent="0.2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5.75" customHeight="1" x14ac:dyDescent="0.2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5.75" customHeight="1" x14ac:dyDescent="0.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5.75" customHeight="1" x14ac:dyDescent="0.2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5.75" customHeight="1" x14ac:dyDescent="0.2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5.75" customHeight="1" x14ac:dyDescent="0.2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5.75" customHeight="1" x14ac:dyDescent="0.2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5.75" customHeight="1" x14ac:dyDescent="0.2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5.75" customHeight="1" x14ac:dyDescent="0.2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5.75" customHeight="1" x14ac:dyDescent="0.2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5.75" customHeight="1" x14ac:dyDescent="0.2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5.75" customHeight="1" x14ac:dyDescent="0.2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5.75" customHeight="1" x14ac:dyDescent="0.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5.75" customHeight="1" x14ac:dyDescent="0.2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5.75" customHeight="1" x14ac:dyDescent="0.2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5.75" customHeight="1" x14ac:dyDescent="0.2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5.75" customHeight="1" x14ac:dyDescent="0.2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5.75" customHeight="1" x14ac:dyDescent="0.2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5.75" customHeight="1" x14ac:dyDescent="0.2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5.75" customHeight="1" x14ac:dyDescent="0.2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5.75" customHeight="1" x14ac:dyDescent="0.2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5.75" customHeight="1" x14ac:dyDescent="0.2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5.75" customHeight="1" x14ac:dyDescent="0.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5.75" customHeight="1" x14ac:dyDescent="0.2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5.75" customHeight="1" x14ac:dyDescent="0.2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5.75" customHeight="1" x14ac:dyDescent="0.2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5.75" customHeight="1" x14ac:dyDescent="0.2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5.75" customHeight="1" x14ac:dyDescent="0.2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5.75" customHeight="1" x14ac:dyDescent="0.2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5.75" customHeight="1" x14ac:dyDescent="0.2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5.75" customHeight="1" x14ac:dyDescent="0.2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5.75" customHeight="1" x14ac:dyDescent="0.2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5.75" customHeight="1" x14ac:dyDescent="0.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5.75" customHeight="1" x14ac:dyDescent="0.2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5.75" customHeight="1" x14ac:dyDescent="0.2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5.75" customHeight="1" x14ac:dyDescent="0.2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5.75" customHeight="1" x14ac:dyDescent="0.2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5.75" customHeight="1" x14ac:dyDescent="0.2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5.75" customHeight="1" x14ac:dyDescent="0.2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5.75" customHeight="1" x14ac:dyDescent="0.2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5.75" customHeight="1" x14ac:dyDescent="0.2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5.75" customHeight="1" x14ac:dyDescent="0.2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5.75" customHeight="1" x14ac:dyDescent="0.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5.75" customHeight="1" x14ac:dyDescent="0.2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5.75" customHeight="1" x14ac:dyDescent="0.2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5.75" customHeight="1" x14ac:dyDescent="0.2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5.75" customHeight="1" x14ac:dyDescent="0.2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5.75" customHeight="1" x14ac:dyDescent="0.2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5.75" customHeight="1" x14ac:dyDescent="0.2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5.75" customHeight="1" x14ac:dyDescent="0.2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5.75" customHeight="1" x14ac:dyDescent="0.2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5.75" customHeight="1" x14ac:dyDescent="0.2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5.75" customHeight="1" x14ac:dyDescent="0.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5.75" customHeight="1" x14ac:dyDescent="0.2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5.75" customHeight="1" x14ac:dyDescent="0.2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5.75" customHeight="1" x14ac:dyDescent="0.2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5.75" customHeight="1" x14ac:dyDescent="0.2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5.75" customHeight="1" x14ac:dyDescent="0.2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5.75" customHeight="1" x14ac:dyDescent="0.2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5.75" customHeight="1" x14ac:dyDescent="0.2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5.75" customHeight="1" x14ac:dyDescent="0.2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5.75" customHeight="1" x14ac:dyDescent="0.2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5.75" customHeight="1" x14ac:dyDescent="0.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5.75" customHeight="1" x14ac:dyDescent="0.2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5.75" customHeight="1" x14ac:dyDescent="0.2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5.75" customHeight="1" x14ac:dyDescent="0.2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5.75" customHeight="1" x14ac:dyDescent="0.2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5.75" customHeight="1" x14ac:dyDescent="0.2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5.75" customHeight="1" x14ac:dyDescent="0.2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5.75" customHeight="1" x14ac:dyDescent="0.2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5.75" customHeight="1" x14ac:dyDescent="0.2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5.75" customHeight="1" x14ac:dyDescent="0.2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5.75" customHeight="1" x14ac:dyDescent="0.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5.75" customHeight="1" x14ac:dyDescent="0.2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5.75" customHeight="1" x14ac:dyDescent="0.2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5.75" customHeight="1" x14ac:dyDescent="0.2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5.75" customHeight="1" x14ac:dyDescent="0.2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5.75" customHeight="1" x14ac:dyDescent="0.2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5.75" customHeight="1" x14ac:dyDescent="0.2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5.75" customHeight="1" x14ac:dyDescent="0.2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5.75" customHeight="1" x14ac:dyDescent="0.2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5.75" customHeight="1" x14ac:dyDescent="0.2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5.75" customHeight="1" x14ac:dyDescent="0.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5.75" customHeight="1" x14ac:dyDescent="0.2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5.75" customHeight="1" x14ac:dyDescent="0.2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5.75" customHeight="1" x14ac:dyDescent="0.2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5.75" customHeight="1" x14ac:dyDescent="0.2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5.75" customHeight="1" x14ac:dyDescent="0.2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5.75" customHeight="1" x14ac:dyDescent="0.2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5.75" customHeight="1" x14ac:dyDescent="0.2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5.75" customHeight="1" x14ac:dyDescent="0.2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5.75" customHeight="1" x14ac:dyDescent="0.2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5.75" customHeight="1" x14ac:dyDescent="0.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5.75" customHeight="1" x14ac:dyDescent="0.2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5.75" customHeight="1" x14ac:dyDescent="0.2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5.75" customHeight="1" x14ac:dyDescent="0.2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5.75" customHeight="1" x14ac:dyDescent="0.2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5.75" customHeight="1" x14ac:dyDescent="0.2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5.75" customHeight="1" x14ac:dyDescent="0.2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5.75" customHeight="1" x14ac:dyDescent="0.2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5.75" customHeight="1" x14ac:dyDescent="0.2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5.75" customHeight="1" x14ac:dyDescent="0.2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5.75" customHeight="1" x14ac:dyDescent="0.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5.75" customHeight="1" x14ac:dyDescent="0.2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5.75" customHeight="1" x14ac:dyDescent="0.2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5.75" customHeight="1" x14ac:dyDescent="0.2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5.75" customHeight="1" x14ac:dyDescent="0.2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5.75" customHeight="1" x14ac:dyDescent="0.2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5.75" customHeight="1" x14ac:dyDescent="0.2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5.75" customHeight="1" x14ac:dyDescent="0.2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5.75" customHeight="1" x14ac:dyDescent="0.2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5.75" customHeight="1" x14ac:dyDescent="0.2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5.75" customHeight="1" x14ac:dyDescent="0.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5.75" customHeight="1" x14ac:dyDescent="0.2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5.75" customHeight="1" x14ac:dyDescent="0.2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5.75" customHeight="1" x14ac:dyDescent="0.2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5.75" customHeight="1" x14ac:dyDescent="0.2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5.75" customHeight="1" x14ac:dyDescent="0.2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5.75" customHeight="1" x14ac:dyDescent="0.2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5.75" customHeight="1" x14ac:dyDescent="0.2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5.75" customHeight="1" x14ac:dyDescent="0.2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5.75" customHeight="1" x14ac:dyDescent="0.2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5.75" customHeight="1" x14ac:dyDescent="0.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5.75" customHeight="1" x14ac:dyDescent="0.2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5.75" customHeight="1" x14ac:dyDescent="0.2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5.75" customHeight="1" x14ac:dyDescent="0.2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5.75" customHeight="1" x14ac:dyDescent="0.2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5.75" customHeight="1" x14ac:dyDescent="0.2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5.75" customHeight="1" x14ac:dyDescent="0.2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5.75" customHeight="1" x14ac:dyDescent="0.2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5.75" customHeight="1" x14ac:dyDescent="0.2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5.75" customHeight="1" x14ac:dyDescent="0.2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5.75" customHeight="1" x14ac:dyDescent="0.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5.75" customHeight="1" x14ac:dyDescent="0.2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5.75" customHeight="1" x14ac:dyDescent="0.2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5.75" customHeight="1" x14ac:dyDescent="0.2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5.75" customHeight="1" x14ac:dyDescent="0.2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5.75" customHeight="1" x14ac:dyDescent="0.2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5.75" customHeight="1" x14ac:dyDescent="0.2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5.75" customHeight="1" x14ac:dyDescent="0.2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5.75" customHeight="1" x14ac:dyDescent="0.2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000"/>
  <sheetViews>
    <sheetView showGridLines="0" workbookViewId="0"/>
  </sheetViews>
  <sheetFormatPr baseColWidth="10" defaultColWidth="14.5" defaultRowHeight="15" customHeight="1" x14ac:dyDescent="0.2"/>
  <cols>
    <col min="1" max="1" width="32.5" customWidth="1"/>
    <col min="2" max="3" width="17.1640625" customWidth="1"/>
    <col min="4" max="25" width="26.5" customWidth="1"/>
  </cols>
  <sheetData>
    <row r="3" spans="1:3" ht="15.75" customHeight="1" x14ac:dyDescent="0.2">
      <c r="A3" s="64"/>
      <c r="B3" s="65" t="s">
        <v>53</v>
      </c>
      <c r="C3" s="65" t="s">
        <v>54</v>
      </c>
    </row>
    <row r="4" spans="1:3" ht="21" customHeight="1" x14ac:dyDescent="0.2">
      <c r="A4" s="66" t="s">
        <v>55</v>
      </c>
      <c r="B4" s="67">
        <f>700</f>
        <v>700</v>
      </c>
      <c r="C4" s="67">
        <f>B4*'C-D Model'!F19</f>
        <v>7386.3692478110488</v>
      </c>
    </row>
    <row r="5" spans="1:3" ht="21" customHeight="1" x14ac:dyDescent="0.2">
      <c r="A5" s="66" t="s">
        <v>56</v>
      </c>
      <c r="B5" s="67">
        <f>'C-D Model'!F36</f>
        <v>286.04317519688681</v>
      </c>
      <c r="C5" s="67">
        <f>3000+100000/15/364</f>
        <v>3018.3150183150183</v>
      </c>
    </row>
    <row r="6" spans="1:3" ht="21" customHeight="1" x14ac:dyDescent="0.2">
      <c r="A6" s="66" t="s">
        <v>57</v>
      </c>
      <c r="B6" s="67">
        <v>100</v>
      </c>
      <c r="C6" s="67">
        <f>B6*'C-D Model'!F19</f>
        <v>1055.1956068301499</v>
      </c>
    </row>
    <row r="7" spans="1:3" ht="21" customHeight="1" x14ac:dyDescent="0.2">
      <c r="A7" s="66" t="s">
        <v>58</v>
      </c>
      <c r="B7" s="67">
        <v>20</v>
      </c>
      <c r="C7" s="67">
        <f>B7*'C-D Model'!F19</f>
        <v>211.03912136602997</v>
      </c>
    </row>
    <row r="8" spans="1:3" ht="21" customHeight="1" x14ac:dyDescent="0.2">
      <c r="A8" s="66" t="s">
        <v>59</v>
      </c>
      <c r="B8" s="67">
        <v>10</v>
      </c>
      <c r="C8" s="67">
        <f>B8*'C-D Model'!F19</f>
        <v>105.51956068301499</v>
      </c>
    </row>
    <row r="9" spans="1:3" ht="21" customHeight="1" x14ac:dyDescent="0.2">
      <c r="A9" s="68" t="s">
        <v>60</v>
      </c>
      <c r="B9" s="69">
        <f t="shared" ref="B9:C9" si="0">B4*0.2</f>
        <v>140</v>
      </c>
      <c r="C9" s="69">
        <f t="shared" si="0"/>
        <v>1477.2738495622098</v>
      </c>
    </row>
    <row r="10" spans="1:3" ht="21" customHeight="1" x14ac:dyDescent="0.2">
      <c r="A10" s="70" t="s">
        <v>61</v>
      </c>
      <c r="B10" s="71">
        <f t="shared" ref="B10:C10" si="1">B4-B5-B6-B7-B8-B9</f>
        <v>143.95682480311319</v>
      </c>
      <c r="C10" s="71">
        <f t="shared" si="1"/>
        <v>1519.0260910546262</v>
      </c>
    </row>
    <row r="11" spans="1:3" ht="21" customHeight="1" x14ac:dyDescent="0.2">
      <c r="A11" s="68" t="s">
        <v>62</v>
      </c>
      <c r="B11" s="69">
        <f t="shared" ref="B11:C11" si="2">B10*0.35</f>
        <v>50.384888681089613</v>
      </c>
      <c r="C11" s="69">
        <f t="shared" si="2"/>
        <v>531.65913186911916</v>
      </c>
    </row>
    <row r="12" spans="1:3" ht="21" customHeight="1" x14ac:dyDescent="0.2">
      <c r="A12" s="70" t="s">
        <v>63</v>
      </c>
      <c r="B12" s="71">
        <f t="shared" ref="B12:C12" si="3">B10-B11</f>
        <v>93.571936122023573</v>
      </c>
      <c r="C12" s="71">
        <f t="shared" si="3"/>
        <v>987.36695918550708</v>
      </c>
    </row>
    <row r="14" spans="1:3" x14ac:dyDescent="0.2">
      <c r="A14" s="72" t="s">
        <v>64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Instructions</vt:lpstr>
      <vt:lpstr>C-D Model</vt:lpstr>
      <vt:lpstr>Initial Parameters</vt:lpstr>
      <vt:lpstr>Contribution Margin Table</vt:lpstr>
      <vt:lpstr>'C-D Model'!solver_lhs1</vt:lpstr>
      <vt:lpstr>'C-D Model'!solver_lhs2</vt:lpstr>
      <vt:lpstr>'C-D Model'!solver_lhs5</vt:lpstr>
      <vt:lpstr>'C-D Model'!solver_lhs6</vt:lpstr>
      <vt:lpstr>'C-D Model'!solver_lhs7</vt:lpstr>
      <vt:lpstr>'C-D Model'!solver_lhs8</vt:lpstr>
      <vt:lpstr>'C-D Model'!solver_rhs5</vt:lpstr>
      <vt:lpstr>'C-D Model'!solver_rhs6</vt:lpstr>
      <vt:lpstr>'C-D Model'!solver_rhs7</vt:lpstr>
      <vt:lpstr>'C-D Model'!solver_rhs8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</dc:creator>
  <cp:lastModifiedBy>Derrick Teo</cp:lastModifiedBy>
  <dcterms:created xsi:type="dcterms:W3CDTF">2014-10-26T01:57:07Z</dcterms:created>
  <dcterms:modified xsi:type="dcterms:W3CDTF">2026-04-13T14:56:33Z</dcterms:modified>
</cp:coreProperties>
</file>