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kfitzge/Library/CloudStorage/GoogleDrive-kathleen.fitzgerald@chicagobooth.edu/My Drive/Kathleen Booth/Director of Academic Support/ISM and SS 2025/Game Tools/"/>
    </mc:Choice>
  </mc:AlternateContent>
  <xr:revisionPtr revIDLastSave="0" documentId="8_{5EC7C401-108F-0C46-93F3-1F662CBA68BF}" xr6:coauthVersionLast="47" xr6:coauthVersionMax="47" xr10:uidLastSave="{00000000-0000-0000-0000-000000000000}"/>
  <bookViews>
    <workbookView xWindow="3240" yWindow="760" windowWidth="19020" windowHeight="13300" tabRatio="500" xr2:uid="{00000000-000D-0000-FFFF-FFFF00000000}"/>
  </bookViews>
  <sheets>
    <sheet name="Debt Mode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" i="8" l="1"/>
  <c r="E19" i="8"/>
  <c r="D19" i="8"/>
  <c r="F14" i="8" l="1"/>
  <c r="F13" i="8"/>
  <c r="E22" i="8" l="1"/>
  <c r="D22" i="8"/>
  <c r="D23" i="8" s="1"/>
  <c r="F22" i="8"/>
  <c r="G22" i="8" s="1"/>
  <c r="E23" i="8" l="1"/>
  <c r="D28" i="8"/>
  <c r="D27" i="8" l="1"/>
  <c r="F23" i="8"/>
  <c r="E28" i="8"/>
  <c r="E27" i="8" s="1"/>
  <c r="E26" i="8" s="1"/>
  <c r="E32" i="8" s="1"/>
  <c r="D26" i="8" l="1"/>
  <c r="D32" i="8" s="1"/>
  <c r="G23" i="8"/>
  <c r="F28" i="8"/>
  <c r="F27" i="8" s="1"/>
  <c r="F26" i="8" s="1"/>
  <c r="F32" i="8" s="1"/>
  <c r="G28" i="8" l="1"/>
  <c r="G27" i="8"/>
  <c r="G26" i="8" s="1"/>
</calcChain>
</file>

<file path=xl/sharedStrings.xml><?xml version="1.0" encoding="utf-8"?>
<sst xmlns="http://schemas.openxmlformats.org/spreadsheetml/2006/main" count="55" uniqueCount="34">
  <si>
    <t>Total</t>
  </si>
  <si>
    <t>Gleacher Game Debt Model</t>
  </si>
  <si>
    <t>Instructions:</t>
  </si>
  <si>
    <t>Annual Percentage Rate (APR)</t>
  </si>
  <si>
    <t>Effective Annual Rate (EAR)</t>
  </si>
  <si>
    <t>Interest Coverage Hurdle for Credit Rating</t>
  </si>
  <si>
    <t>Excellent</t>
  </si>
  <si>
    <t>Good</t>
  </si>
  <si>
    <t>Poor</t>
  </si>
  <si>
    <t xml:space="preserve"> </t>
  </si>
  <si>
    <t>Face Value of One Bond</t>
  </si>
  <si>
    <t>PV of one bond</t>
  </si>
  <si>
    <t>Present Value of One Bond</t>
  </si>
  <si>
    <t>This model is based on zero-coupon bonds with $1,000 face value maturing in 5 years.</t>
  </si>
  <si>
    <t>Interest is compounded semi-annually.</t>
  </si>
  <si>
    <t>Bonds are issued in sequential tranches in descending order by credit rating: (1) Excellent, (2) Good, (3) Poor.</t>
  </si>
  <si>
    <t>All debt capacity at an Excellent credit rating must be exhausted before any bonds can be issued at a Good credit rating.</t>
  </si>
  <si>
    <t>All debt capacity at a Good credit rating must be exhausted before any bonds can be issued at a Poor credit rating.</t>
  </si>
  <si>
    <t>See the Gleacher Game Case Brief for more information on the bond market.</t>
  </si>
  <si>
    <t>Enter all inputs in yellow cells.</t>
  </si>
  <si>
    <t>Debt Capacity</t>
  </si>
  <si>
    <t>Face Value of Issuable Bonds</t>
  </si>
  <si>
    <t>Value of a Single Bond</t>
  </si>
  <si>
    <t># of Issuable Bonds</t>
  </si>
  <si>
    <t>Inputs</t>
  </si>
  <si>
    <t>Credit Rating Criteria and Interest Rates</t>
  </si>
  <si>
    <t>What is your current quarterly interest expense?</t>
  </si>
  <si>
    <t>What was your operating income for the last full quarter?</t>
  </si>
  <si>
    <t>per quarter</t>
  </si>
  <si>
    <t>per year</t>
  </si>
  <si>
    <t>Present Value of Issuable Bonds (Cash Received)</t>
  </si>
  <si>
    <t>Maximum Interest Expense to Retain Credit Rating</t>
  </si>
  <si>
    <t>Cumulative Annualized Interest Expense</t>
  </si>
  <si>
    <t>Incremental Annualized 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</si>
</sst>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\x"/>
    <numFmt numFmtId="167" formatCode="&quot;$&quot;#,##0.00"/>
    <numFmt numFmtId="168" formatCode="_(* #,##0.0000000_);_(* \(#,##0.0000000\);_(* &quot;-&quot;??_);_(@_)"/>
    <numFmt numFmtId="169" formatCode="0\)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5">
    <xf numFmtId="0" fontId="0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7" fillId="0" borderId="0" xfId="1" applyFont="1"/>
    <xf numFmtId="0" fontId="3" fillId="0" borderId="0" xfId="1"/>
    <xf numFmtId="164" fontId="3" fillId="0" borderId="0" xfId="1" applyNumberFormat="1"/>
    <xf numFmtId="0" fontId="2" fillId="0" borderId="0" xfId="1" applyFont="1"/>
    <xf numFmtId="43" fontId="3" fillId="0" borderId="0" xfId="1" applyNumberFormat="1"/>
    <xf numFmtId="168" fontId="3" fillId="0" borderId="0" xfId="1" applyNumberFormat="1"/>
    <xf numFmtId="169" fontId="3" fillId="0" borderId="0" xfId="1" applyNumberFormat="1"/>
    <xf numFmtId="169" fontId="1" fillId="0" borderId="0" xfId="1" applyNumberFormat="1" applyFont="1"/>
    <xf numFmtId="169" fontId="2" fillId="0" borderId="0" xfId="1" applyNumberFormat="1" applyFont="1"/>
    <xf numFmtId="168" fontId="3" fillId="0" borderId="0" xfId="1" applyNumberFormat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165" fontId="8" fillId="4" borderId="1" xfId="2" applyNumberFormat="1" applyFont="1" applyFill="1" applyBorder="1" applyAlignment="1" applyProtection="1">
      <alignment horizontal="center" vertical="center"/>
      <protection locked="0"/>
    </xf>
    <xf numFmtId="0" fontId="9" fillId="0" borderId="0" xfId="1" applyFont="1"/>
    <xf numFmtId="0" fontId="10" fillId="0" borderId="0" xfId="1" applyFont="1"/>
    <xf numFmtId="165" fontId="3" fillId="5" borderId="1" xfId="2" applyNumberFormat="1" applyFont="1" applyFill="1" applyBorder="1" applyAlignment="1" applyProtection="1">
      <alignment horizontal="center" vertical="center"/>
      <protection locked="0"/>
    </xf>
    <xf numFmtId="0" fontId="4" fillId="3" borderId="8" xfId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166" fontId="6" fillId="5" borderId="5" xfId="3" applyNumberFormat="1" applyFont="1" applyFill="1" applyBorder="1" applyAlignment="1" applyProtection="1">
      <alignment horizontal="center" vertical="center" wrapText="1"/>
      <protection locked="0"/>
    </xf>
    <xf numFmtId="166" fontId="6" fillId="5" borderId="6" xfId="3" applyNumberFormat="1" applyFont="1" applyFill="1" applyBorder="1" applyAlignment="1" applyProtection="1">
      <alignment horizontal="center" vertical="center" wrapText="1"/>
      <protection locked="0"/>
    </xf>
    <xf numFmtId="10" fontId="6" fillId="5" borderId="5" xfId="4" applyNumberFormat="1" applyFont="1" applyFill="1" applyBorder="1" applyAlignment="1" applyProtection="1">
      <alignment horizontal="center" vertical="center" wrapText="1"/>
      <protection locked="0"/>
    </xf>
    <xf numFmtId="10" fontId="6" fillId="5" borderId="6" xfId="4" applyNumberFormat="1" applyFont="1" applyFill="1" applyBorder="1" applyAlignment="1" applyProtection="1">
      <alignment horizontal="center" vertical="center" wrapText="1"/>
      <protection locked="0"/>
    </xf>
    <xf numFmtId="166" fontId="6" fillId="5" borderId="1" xfId="3" applyNumberFormat="1" applyFont="1" applyFill="1" applyBorder="1" applyAlignment="1" applyProtection="1">
      <alignment horizontal="center" vertical="center" wrapText="1"/>
      <protection locked="0"/>
    </xf>
    <xf numFmtId="10" fontId="6" fillId="5" borderId="1" xfId="4" applyNumberFormat="1" applyFont="1" applyFill="1" applyBorder="1" applyAlignment="1" applyProtection="1">
      <alignment horizontal="center" vertical="center" wrapText="1"/>
      <protection locked="0"/>
    </xf>
    <xf numFmtId="167" fontId="3" fillId="0" borderId="1" xfId="1" applyNumberFormat="1" applyBorder="1" applyAlignment="1">
      <alignment horizontal="center" vertical="center"/>
    </xf>
    <xf numFmtId="167" fontId="5" fillId="5" borderId="1" xfId="1" applyNumberFormat="1" applyFont="1" applyFill="1" applyBorder="1" applyAlignment="1">
      <alignment horizontal="center" vertical="center"/>
    </xf>
    <xf numFmtId="37" fontId="5" fillId="5" borderId="1" xfId="1" applyNumberFormat="1" applyFont="1" applyFill="1" applyBorder="1" applyAlignment="1">
      <alignment horizontal="center" vertical="center"/>
    </xf>
    <xf numFmtId="37" fontId="3" fillId="0" borderId="1" xfId="1" applyNumberFormat="1" applyBorder="1" applyAlignment="1">
      <alignment horizontal="center" vertical="center"/>
    </xf>
    <xf numFmtId="0" fontId="9" fillId="0" borderId="7" xfId="1" applyFont="1" applyBorder="1" applyAlignment="1">
      <alignment horizontal="left"/>
    </xf>
    <xf numFmtId="0" fontId="6" fillId="2" borderId="5" xfId="1" quotePrefix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</cellXfs>
  <cellStyles count="5">
    <cellStyle name="Comma 2" xfId="3" xr:uid="{B3F22F59-D28A-4B54-B753-7476589E5614}"/>
    <cellStyle name="Currency 2" xfId="2" xr:uid="{28DC4375-0ED7-4D6F-9A72-E6CFA5C5A559}"/>
    <cellStyle name="Normal" xfId="0" builtinId="0"/>
    <cellStyle name="Normal 2" xfId="1" xr:uid="{658F7AEA-CFDF-4C05-BD91-CA494C340D66}"/>
    <cellStyle name="Percent 2" xfId="4" xr:uid="{1FC722BF-2D3E-47F6-B93B-FED0A57D0460}"/>
  </cellStyles>
  <dxfs count="0"/>
  <tableStyles count="0" defaultTableStyle="TableStyleMedium9" defaultPivotStyle="PivotStyleMedium4"/>
  <colors>
    <mruColors>
      <color rgb="FF0000FF"/>
      <color rgb="FF0033CC"/>
      <color rgb="FFE6E6E6"/>
      <color rgb="FFFAFAFA"/>
      <color rgb="FFF0F0F0"/>
      <color rgb="FFC3C3C3"/>
      <color rgb="FFD2D2D2"/>
      <color rgb="FFE1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6135-54DF-4494-A8B7-DFDB722C152A}">
  <dimension ref="A1:I38"/>
  <sheetViews>
    <sheetView showGridLines="0" tabSelected="1" zoomScaleNormal="100" workbookViewId="0"/>
  </sheetViews>
  <sheetFormatPr baseColWidth="10" defaultColWidth="8" defaultRowHeight="15" x14ac:dyDescent="0.2"/>
  <cols>
    <col min="1" max="1" width="0.33203125" style="2" customWidth="1"/>
    <col min="2" max="2" width="2.1640625" style="2" customWidth="1"/>
    <col min="3" max="3" width="56" style="2" customWidth="1"/>
    <col min="4" max="4" width="10.1640625" style="2" bestFit="1" customWidth="1"/>
    <col min="5" max="7" width="11.1640625" style="2" bestFit="1" customWidth="1"/>
    <col min="8" max="8" width="11.6640625" style="2" customWidth="1"/>
    <col min="9" max="9" width="50" style="2" customWidth="1"/>
    <col min="10" max="10" width="8" style="2" bestFit="1" customWidth="1"/>
    <col min="11" max="11" width="10.33203125" style="2" bestFit="1" customWidth="1"/>
    <col min="12" max="12" width="9.6640625" style="2" bestFit="1" customWidth="1"/>
    <col min="13" max="13" width="10.5" style="2" customWidth="1"/>
    <col min="14" max="14" width="10.1640625" style="2" bestFit="1" customWidth="1"/>
    <col min="15" max="15" width="9.33203125" style="2" bestFit="1" customWidth="1"/>
    <col min="16" max="16384" width="8" style="2"/>
  </cols>
  <sheetData>
    <row r="1" spans="2:7" ht="19" x14ac:dyDescent="0.25">
      <c r="B1" s="1" t="s">
        <v>1</v>
      </c>
    </row>
    <row r="2" spans="2:7" ht="4" customHeight="1" x14ac:dyDescent="0.2"/>
    <row r="3" spans="2:7" ht="16" x14ac:dyDescent="0.2">
      <c r="B3" s="15" t="s">
        <v>2</v>
      </c>
    </row>
    <row r="4" spans="2:7" x14ac:dyDescent="0.2">
      <c r="B4" s="7">
        <v>1</v>
      </c>
      <c r="C4" s="2" t="s">
        <v>13</v>
      </c>
    </row>
    <row r="5" spans="2:7" x14ac:dyDescent="0.2">
      <c r="B5" s="8">
        <v>2</v>
      </c>
      <c r="C5" s="2" t="s">
        <v>14</v>
      </c>
    </row>
    <row r="6" spans="2:7" x14ac:dyDescent="0.2">
      <c r="B6" s="9">
        <v>3</v>
      </c>
      <c r="C6" s="2" t="s">
        <v>15</v>
      </c>
    </row>
    <row r="7" spans="2:7" x14ac:dyDescent="0.2">
      <c r="B7" s="9">
        <v>4</v>
      </c>
      <c r="C7" s="2" t="s">
        <v>16</v>
      </c>
    </row>
    <row r="8" spans="2:7" x14ac:dyDescent="0.2">
      <c r="B8" s="9">
        <v>5</v>
      </c>
      <c r="C8" s="2" t="s">
        <v>17</v>
      </c>
    </row>
    <row r="9" spans="2:7" x14ac:dyDescent="0.2">
      <c r="B9" s="9">
        <v>6</v>
      </c>
      <c r="C9" s="2" t="s">
        <v>18</v>
      </c>
    </row>
    <row r="10" spans="2:7" x14ac:dyDescent="0.2">
      <c r="B10" s="9">
        <v>7</v>
      </c>
      <c r="C10" s="2" t="s">
        <v>19</v>
      </c>
    </row>
    <row r="11" spans="2:7" ht="7" customHeight="1" x14ac:dyDescent="0.2"/>
    <row r="12" spans="2:7" ht="15.5" customHeight="1" x14ac:dyDescent="0.2">
      <c r="B12" s="31" t="s">
        <v>24</v>
      </c>
      <c r="C12" s="31"/>
    </row>
    <row r="13" spans="2:7" x14ac:dyDescent="0.2">
      <c r="B13" s="32" t="s">
        <v>26</v>
      </c>
      <c r="C13" s="33"/>
      <c r="D13" s="14">
        <v>0</v>
      </c>
      <c r="E13" s="16" t="s">
        <v>28</v>
      </c>
      <c r="F13" s="17">
        <f>D13*4</f>
        <v>0</v>
      </c>
      <c r="G13" s="16" t="s">
        <v>29</v>
      </c>
    </row>
    <row r="14" spans="2:7" x14ac:dyDescent="0.2">
      <c r="B14" s="32" t="s">
        <v>27</v>
      </c>
      <c r="C14" s="33"/>
      <c r="D14" s="14">
        <v>25000</v>
      </c>
      <c r="E14" s="16" t="s">
        <v>28</v>
      </c>
      <c r="F14" s="17">
        <f>D14*4</f>
        <v>100000</v>
      </c>
      <c r="G14" s="16" t="s">
        <v>29</v>
      </c>
    </row>
    <row r="15" spans="2:7" ht="8.5" customHeight="1" x14ac:dyDescent="0.2"/>
    <row r="16" spans="2:7" ht="15.5" customHeight="1" x14ac:dyDescent="0.2">
      <c r="B16" s="31" t="s">
        <v>25</v>
      </c>
      <c r="C16" s="31"/>
      <c r="D16" s="18" t="s">
        <v>6</v>
      </c>
      <c r="E16" s="19" t="s">
        <v>7</v>
      </c>
      <c r="F16" s="20" t="s">
        <v>8</v>
      </c>
    </row>
    <row r="17" spans="1:9" x14ac:dyDescent="0.2">
      <c r="B17" s="32" t="s">
        <v>5</v>
      </c>
      <c r="C17" s="33"/>
      <c r="D17" s="21">
        <v>20</v>
      </c>
      <c r="E17" s="25">
        <v>7</v>
      </c>
      <c r="F17" s="22">
        <v>2</v>
      </c>
    </row>
    <row r="18" spans="1:9" x14ac:dyDescent="0.2">
      <c r="B18" s="32" t="s">
        <v>3</v>
      </c>
      <c r="C18" s="33"/>
      <c r="D18" s="23">
        <v>0.1</v>
      </c>
      <c r="E18" s="26">
        <v>0.15</v>
      </c>
      <c r="F18" s="24">
        <v>0.25</v>
      </c>
    </row>
    <row r="19" spans="1:9" x14ac:dyDescent="0.2">
      <c r="B19" s="32" t="s">
        <v>4</v>
      </c>
      <c r="C19" s="33"/>
      <c r="D19" s="23">
        <f>(1+$D18/2)^2-1</f>
        <v>0.10250000000000004</v>
      </c>
      <c r="E19" s="26">
        <f>(1+$E18/2)^2-1</f>
        <v>0.1556249999999999</v>
      </c>
      <c r="F19" s="24">
        <f>(1+$F18/2)^2-1</f>
        <v>0.265625</v>
      </c>
    </row>
    <row r="20" spans="1:9" ht="8.5" customHeight="1" x14ac:dyDescent="0.2">
      <c r="A20" s="4" t="s">
        <v>9</v>
      </c>
      <c r="B20" s="4" t="s">
        <v>9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9</v>
      </c>
      <c r="H20" s="4" t="s">
        <v>9</v>
      </c>
      <c r="I20" s="4" t="s">
        <v>9</v>
      </c>
    </row>
    <row r="21" spans="1:9" ht="16" x14ac:dyDescent="0.2">
      <c r="B21" s="31" t="s">
        <v>31</v>
      </c>
      <c r="C21" s="31"/>
      <c r="D21" s="11" t="s">
        <v>6</v>
      </c>
      <c r="E21" s="12" t="s">
        <v>7</v>
      </c>
      <c r="F21" s="12" t="s">
        <v>8</v>
      </c>
      <c r="G21" s="13" t="s">
        <v>0</v>
      </c>
    </row>
    <row r="22" spans="1:9" x14ac:dyDescent="0.2">
      <c r="B22" s="32" t="s">
        <v>32</v>
      </c>
      <c r="C22" s="33"/>
      <c r="D22" s="27">
        <f>MAX(0,$F$14/D$17)</f>
        <v>5000</v>
      </c>
      <c r="E22" s="27">
        <f>MAX(0,$F$14/E$17)</f>
        <v>14285.714285714286</v>
      </c>
      <c r="F22" s="27">
        <f>MAX(0,$F$14/F$17)</f>
        <v>50000</v>
      </c>
      <c r="G22" s="28">
        <f>F22</f>
        <v>50000</v>
      </c>
    </row>
    <row r="23" spans="1:9" x14ac:dyDescent="0.2">
      <c r="B23" s="32" t="s">
        <v>33</v>
      </c>
      <c r="C23" s="33"/>
      <c r="D23" s="27">
        <f>MAX(0,D22-$F$13)</f>
        <v>5000</v>
      </c>
      <c r="E23" s="27">
        <f>MAX(0,E22-D23-$F$13)</f>
        <v>9285.7142857142862</v>
      </c>
      <c r="F23" s="27">
        <f>MAX(0,F22-SUM(D23:E23)-$F$13)</f>
        <v>35714.28571428571</v>
      </c>
      <c r="G23" s="28">
        <f>SUM(D23:F23)</f>
        <v>50000</v>
      </c>
      <c r="H23" s="3"/>
    </row>
    <row r="24" spans="1:9" ht="8.5" customHeight="1" x14ac:dyDescent="0.2"/>
    <row r="25" spans="1:9" ht="16" x14ac:dyDescent="0.2">
      <c r="B25" s="31" t="s">
        <v>20</v>
      </c>
      <c r="C25" s="31"/>
      <c r="D25" s="18" t="s">
        <v>6</v>
      </c>
      <c r="E25" s="19" t="s">
        <v>7</v>
      </c>
      <c r="F25" s="19" t="s">
        <v>8</v>
      </c>
      <c r="G25" s="20" t="s">
        <v>0</v>
      </c>
    </row>
    <row r="26" spans="1:9" x14ac:dyDescent="0.2">
      <c r="B26" s="32" t="s">
        <v>23</v>
      </c>
      <c r="C26" s="33"/>
      <c r="D26" s="30">
        <f>D27/1000</f>
        <v>79.458274476948333</v>
      </c>
      <c r="E26" s="30">
        <f>E27/1000</f>
        <v>122.9760656713311</v>
      </c>
      <c r="F26" s="30">
        <f>F27/1000</f>
        <v>436.61459165961799</v>
      </c>
      <c r="G26" s="29">
        <f>G27/1000</f>
        <v>639.04893180789736</v>
      </c>
    </row>
    <row r="27" spans="1:9" ht="14.5" customHeight="1" x14ac:dyDescent="0.2">
      <c r="B27" s="32" t="s">
        <v>21</v>
      </c>
      <c r="C27" s="33"/>
      <c r="D27" s="27">
        <f>D$28*((1+D$19)^5)</f>
        <v>79458.27447694834</v>
      </c>
      <c r="E27" s="27">
        <f>E$28*((1+E$19)^5)</f>
        <v>122976.0656713311</v>
      </c>
      <c r="F27" s="27">
        <f>F$28*((1+F$19)^5)</f>
        <v>436614.59165961796</v>
      </c>
      <c r="G27" s="28">
        <f>SUM(D27:F27)</f>
        <v>639048.9318078974</v>
      </c>
      <c r="H27" s="5"/>
      <c r="I27" s="6"/>
    </row>
    <row r="28" spans="1:9" x14ac:dyDescent="0.2">
      <c r="B28" s="32" t="s">
        <v>30</v>
      </c>
      <c r="C28" s="33"/>
      <c r="D28" s="27">
        <f>D$23/D$19</f>
        <v>48780.48780487803</v>
      </c>
      <c r="E28" s="27">
        <f>E$23/E$19</f>
        <v>59667.240390131999</v>
      </c>
      <c r="F28" s="27">
        <f>F$23/F$19</f>
        <v>134453.78151260503</v>
      </c>
      <c r="G28" s="28">
        <f>SUM(D28:F28)</f>
        <v>242901.50970761507</v>
      </c>
      <c r="I28" s="4" t="s">
        <v>9</v>
      </c>
    </row>
    <row r="29" spans="1:9" ht="8.5" customHeight="1" x14ac:dyDescent="0.2">
      <c r="A29" s="6"/>
      <c r="B29" s="6"/>
      <c r="C29" s="6"/>
      <c r="D29" s="10"/>
      <c r="E29" s="10"/>
      <c r="F29" s="10"/>
      <c r="G29" s="10"/>
      <c r="H29" s="6"/>
      <c r="I29" s="6"/>
    </row>
    <row r="30" spans="1:9" ht="16" x14ac:dyDescent="0.2">
      <c r="B30" s="31" t="s">
        <v>22</v>
      </c>
      <c r="C30" s="31"/>
      <c r="D30" s="11" t="s">
        <v>6</v>
      </c>
      <c r="E30" s="12" t="s">
        <v>7</v>
      </c>
      <c r="F30" s="12" t="s">
        <v>8</v>
      </c>
    </row>
    <row r="31" spans="1:9" ht="14.5" customHeight="1" x14ac:dyDescent="0.2">
      <c r="B31" s="32" t="s">
        <v>10</v>
      </c>
      <c r="C31" s="33"/>
      <c r="D31" s="27">
        <v>1000</v>
      </c>
      <c r="E31" s="27">
        <v>1000</v>
      </c>
      <c r="F31" s="27">
        <v>1000</v>
      </c>
    </row>
    <row r="32" spans="1:9" x14ac:dyDescent="0.2">
      <c r="B32" s="32" t="s">
        <v>12</v>
      </c>
      <c r="C32" s="33" t="s">
        <v>11</v>
      </c>
      <c r="D32" s="27">
        <f>IF(D26=0,"",D28/D26)</f>
        <v>613.91325354075934</v>
      </c>
      <c r="E32" s="27">
        <f>IF(E26=0,"",E28/E26)</f>
        <v>485.19392830146438</v>
      </c>
      <c r="F32" s="27">
        <f>IF(F26=0,"",F28/F26)</f>
        <v>307.9461476574387</v>
      </c>
    </row>
    <row r="34" ht="14.5" customHeight="1" x14ac:dyDescent="0.2"/>
    <row r="38" ht="14.5" customHeight="1" x14ac:dyDescent="0.2"/>
  </sheetData>
  <mergeCells count="17">
    <mergeCell ref="B21:C21"/>
    <mergeCell ref="B12:C12"/>
    <mergeCell ref="B25:C25"/>
    <mergeCell ref="B30:C30"/>
    <mergeCell ref="B32:C32"/>
    <mergeCell ref="B26:C26"/>
    <mergeCell ref="B13:C13"/>
    <mergeCell ref="B14:C14"/>
    <mergeCell ref="B17:C17"/>
    <mergeCell ref="B18:C18"/>
    <mergeCell ref="B19:C19"/>
    <mergeCell ref="B22:C22"/>
    <mergeCell ref="B23:C23"/>
    <mergeCell ref="B28:C28"/>
    <mergeCell ref="B27:C27"/>
    <mergeCell ref="B31:C31"/>
    <mergeCell ref="B16:C16"/>
  </mergeCells>
  <dataValidations count="2">
    <dataValidation type="decimal" operator="greaterThanOrEqual" allowBlank="1" showInputMessage="1" showErrorMessage="1" error="Value must be &gt;=0 " sqref="D13" xr:uid="{495EFD41-E52C-4A90-A4D1-E659BAC56A32}">
      <formula1>0</formula1>
    </dataValidation>
    <dataValidation type="decimal" operator="greaterThanOrEqual" allowBlank="1" showInputMessage="1" showErrorMessage="1" error="Input must be numeric" sqref="D14" xr:uid="{12BC1403-0F72-4F4D-B738-D2DE9819D2CA}">
      <formula1>-999999999999999</formula1>
    </dataValidation>
  </dataValidations>
  <pageMargins left="0.7" right="0.7" top="0.75" bottom="0.75" header="0.3" footer="0.3"/>
  <pageSetup orientation="portrait" r:id="rId1"/>
  <ignoredErrors>
    <ignoredError sqref="D19:F1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 Model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Fitzgerald</dc:creator>
  <cp:lastModifiedBy>Fitzgerald, Kathleen</cp:lastModifiedBy>
  <dcterms:created xsi:type="dcterms:W3CDTF">2014-12-29T07:04:21Z</dcterms:created>
  <dcterms:modified xsi:type="dcterms:W3CDTF">2025-01-29T04:36:25Z</dcterms:modified>
</cp:coreProperties>
</file>