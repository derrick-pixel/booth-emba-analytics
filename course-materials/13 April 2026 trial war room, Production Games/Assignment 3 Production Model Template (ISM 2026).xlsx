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3"/>
  <workbookPr codeName="ThisWorkbook" autoCompressPictures="0"/>
  <mc:AlternateContent xmlns:mc="http://schemas.openxmlformats.org/markup-compatibility/2006">
    <mc:Choice Requires="x15">
      <x15ac:absPath xmlns:x15ac="http://schemas.microsoft.com/office/spreadsheetml/2010/11/ac" url="/Users/pkfitzge/Library/CloudStorage/GoogleDrive-kathleen.fitzgerald@chicagobooth.edu/My Drive/Kathleen Booth/Director of Academic Support/ISM and SS 2026/ISM/Assignments and Solutions (all campuses)/"/>
    </mc:Choice>
  </mc:AlternateContent>
  <xr:revisionPtr revIDLastSave="0" documentId="8_{B6D316D7-2599-A14B-A010-7CC393C7D3B5}" xr6:coauthVersionLast="47" xr6:coauthVersionMax="47" xr10:uidLastSave="{00000000-0000-0000-0000-000000000000}"/>
  <bookViews>
    <workbookView xWindow="0" yWindow="760" windowWidth="34560" windowHeight="19800" activeTab="3" xr2:uid="{00000000-000D-0000-FFFF-FFFF00000000}"/>
  </bookViews>
  <sheets>
    <sheet name="Instructions" sheetId="7" r:id="rId1"/>
    <sheet name="C-D Model" sheetId="6" r:id="rId2"/>
    <sheet name="Initial Parameters" sheetId="4" r:id="rId3"/>
    <sheet name="Contribution Margin Table" sheetId="5" r:id="rId4"/>
  </sheets>
  <externalReferences>
    <externalReference r:id="rId5"/>
    <externalReference r:id="rId6"/>
    <externalReference r:id="rId7"/>
    <externalReference r:id="rId8"/>
    <externalReference r:id="rId9"/>
  </externalReferences>
  <definedNames>
    <definedName name="Bangladesh_Taxes">'[1]General Assumptions'!$B$8</definedName>
    <definedName name="Business_Manager">'[1](BD) Staff'!$D$5</definedName>
    <definedName name="ConfSwitch">[2]Assumptions!$C$8</definedName>
    <definedName name="Conveyance_Allowance">'[1](BD) Staff'!$D$12</definedName>
    <definedName name="costs_per_show">'[1](US) S&amp;M Karima'!$B$58</definedName>
    <definedName name="Day_Care_Manager">'[1](BD) Staff'!$D$7</definedName>
    <definedName name="Design_Manager">'[1](BD) Staff'!$D$8</definedName>
    <definedName name="Festival_Bonus">'[1](BD) Staff'!$D$14</definedName>
    <definedName name="Hours_per_Worker_per_Week">'[3]Wage Workers'!$B$7</definedName>
    <definedName name="Housing_Allowance">'[1](BD) Staff'!$D$10</definedName>
    <definedName name="Housing_Allowance_per_Month">[3]Staff!$C$9</definedName>
    <definedName name="HTML_CodePage" hidden="1">1252</definedName>
    <definedName name="HTML_Control" hidden="1">{"'Sheet1'!$A$1:$G$85"}</definedName>
    <definedName name="HTML_Description" hidden="1">""</definedName>
    <definedName name="HTML_Email" hidden="1">""</definedName>
    <definedName name="HTML_Header" hidden="1">"Sheet1"</definedName>
    <definedName name="HTML_LastUpdate" hidden="1">"2/24/99"</definedName>
    <definedName name="HTML_LineAfter" hidden="1">TRUE</definedName>
    <definedName name="HTML_LineBefore" hidden="1">TRUE</definedName>
    <definedName name="HTML_Name" hidden="1">"Aswath Damodaran"</definedName>
    <definedName name="HTML_OBDlg2" hidden="1">TRUE</definedName>
    <definedName name="HTML_OBDlg4" hidden="1">TRUE</definedName>
    <definedName name="HTML_OS" hidden="1">1</definedName>
    <definedName name="HTML_PathFileMac" hidden="1">"Macintosh HD:HomePageStuff:New_Home_Page:datafile:histret.html"</definedName>
    <definedName name="HTML_Title" hidden="1">"Historical Returns on Stocks, Bonds and Bills"</definedName>
    <definedName name="HTML1_1" hidden="1">"[ReturnsHistorical]Sheet1!$A$1:$D$77"</definedName>
    <definedName name="HTML1_10" hidden="1">""</definedName>
    <definedName name="HTML1_11" hidden="1">1</definedName>
    <definedName name="HTML1_12" hidden="1">"Zip 100:New_Home_Page:datafile:histret.html"</definedName>
    <definedName name="HTML1_2" hidden="1">1</definedName>
    <definedName name="HTML1_3" hidden="1">"ReturnsHistorical"</definedName>
    <definedName name="HTML1_4" hidden="1">"Historical Returns on Stocks, Bonds and Bills"</definedName>
    <definedName name="HTML1_5" hidden="1">"Ibbotson Data"</definedName>
    <definedName name="HTML1_6" hidden="1">-4146</definedName>
    <definedName name="HTML1_7" hidden="1">-4146</definedName>
    <definedName name="HTML1_8" hidden="1">"3/17/97"</definedName>
    <definedName name="HTML1_9" hidden="1">"Aswath Damodaran"</definedName>
    <definedName name="HTML2_1" hidden="1">"[histret.xls]Sheet1!$A$1:$G$85"</definedName>
    <definedName name="HTML2_10" hidden="1">""</definedName>
    <definedName name="HTML2_11" hidden="1">1</definedName>
    <definedName name="HTML2_12" hidden="1">"Macintosh HD:New_Home_Page:datafile:histret.html"</definedName>
    <definedName name="HTML2_2" hidden="1">1</definedName>
    <definedName name="HTML2_3" hidden="1">"Historical Returns"</definedName>
    <definedName name="HTML2_4" hidden="1">"Historical Returns on Stocks, Bonds and Bills"</definedName>
    <definedName name="HTML2_5" hidden="1">""</definedName>
    <definedName name="HTML2_6" hidden="1">1</definedName>
    <definedName name="HTML2_7" hidden="1">1</definedName>
    <definedName name="HTML2_8" hidden="1">"2/3/98"</definedName>
    <definedName name="HTML2_9" hidden="1">"Aswath Damodaran"</definedName>
    <definedName name="HTMLCount" hidden="1">2</definedName>
    <definedName name="Medical_Cost">'[1](BD) Staff'!$D$13</definedName>
    <definedName name="Months_per_Year">[4]Assumptions!$CB$3</definedName>
    <definedName name="Production_Manager">'[1](BD) Staff'!$D$6</definedName>
    <definedName name="ProjName">'[5]Control Panel'!$D$7</definedName>
    <definedName name="Retirement_Allowance">'[1](BD) Staff'!$D$11</definedName>
    <definedName name="sale_per_show">'[1](US) S&amp;M Karima'!$B$60</definedName>
    <definedName name="solver_cvg" localSheetId="1" hidden="1">0.0001</definedName>
    <definedName name="solver_drv" localSheetId="1" hidden="1">1</definedName>
    <definedName name="solver_eng" localSheetId="1" hidden="1">1</definedName>
    <definedName name="solver_est" localSheetId="1" hidden="1">1</definedName>
    <definedName name="solver_itr" localSheetId="1" hidden="1">2147483647</definedName>
    <definedName name="solver_lhs1" localSheetId="1" hidden="1">'C-D Model'!$C$4</definedName>
    <definedName name="solver_lhs10" localSheetId="1" hidden="1">#REF!</definedName>
    <definedName name="solver_lhs11" localSheetId="1" hidden="1">#REF!</definedName>
    <definedName name="solver_lhs12" localSheetId="1" hidden="1">#REF!</definedName>
    <definedName name="solver_lhs2" localSheetId="1" hidden="1">'C-D Model'!$C$4</definedName>
    <definedName name="solver_lhs3" localSheetId="1" hidden="1">'C-D Model'!#REF!</definedName>
    <definedName name="solver_lhs4" localSheetId="1" hidden="1">'C-D Model'!#REF!</definedName>
    <definedName name="solver_lhs5" localSheetId="1" hidden="1">'C-D Model'!$C$5</definedName>
    <definedName name="solver_lhs6" localSheetId="1" hidden="1">'C-D Model'!$C$5</definedName>
    <definedName name="solver_lhs7" localSheetId="1" hidden="1">'C-D Model'!$C$5</definedName>
    <definedName name="solver_lhs8" localSheetId="1" hidden="1">'C-D Model'!$C$5</definedName>
    <definedName name="solver_lhs9" localSheetId="1" hidden="1">#REF!</definedName>
    <definedName name="solver_mip" localSheetId="1" hidden="1">2147483647</definedName>
    <definedName name="solver_mni" localSheetId="1" hidden="1">30</definedName>
    <definedName name="solver_mrt" localSheetId="1" hidden="1">0.075</definedName>
    <definedName name="solver_msl" localSheetId="1" hidden="1">1</definedName>
    <definedName name="solver_neg" localSheetId="1" hidden="1">1</definedName>
    <definedName name="solver_nod" localSheetId="1" hidden="1">2147483647</definedName>
    <definedName name="solver_num" localSheetId="1" hidden="1">0</definedName>
    <definedName name="solver_nwt" localSheetId="1" hidden="1">1</definedName>
    <definedName name="solver_pre" localSheetId="1" hidden="1">0.000001</definedName>
    <definedName name="solver_rbv" localSheetId="1" hidden="1">1</definedName>
    <definedName name="solver_rel1" localSheetId="1" hidden="1">1</definedName>
    <definedName name="solver_rel10" localSheetId="1" hidden="1">2</definedName>
    <definedName name="solver_rel11" localSheetId="1" hidden="1">2</definedName>
    <definedName name="solver_rel12" localSheetId="1" hidden="1">2</definedName>
    <definedName name="solver_rel2" localSheetId="1" hidden="1">3</definedName>
    <definedName name="solver_rel3" localSheetId="1" hidden="1">1</definedName>
    <definedName name="solver_rel4" localSheetId="1" hidden="1">3</definedName>
    <definedName name="solver_rel5" localSheetId="1" hidden="1">2</definedName>
    <definedName name="solver_rel6" localSheetId="1" hidden="1">2</definedName>
    <definedName name="solver_rel7" localSheetId="1" hidden="1">2</definedName>
    <definedName name="solver_rel8" localSheetId="1" hidden="1">2</definedName>
    <definedName name="solver_rel9" localSheetId="1" hidden="1">2</definedName>
    <definedName name="solver_rhs1" localSheetId="1" hidden="1">100000</definedName>
    <definedName name="solver_rhs10" localSheetId="1" hidden="1">#REF!</definedName>
    <definedName name="solver_rhs11" localSheetId="1" hidden="1">#REF!</definedName>
    <definedName name="solver_rhs12" localSheetId="1" hidden="1">#REF!</definedName>
    <definedName name="solver_rhs2" localSheetId="1" hidden="1">1</definedName>
    <definedName name="solver_rhs3" localSheetId="1" hidden="1">100000000</definedName>
    <definedName name="solver_rhs4" localSheetId="1" hidden="1">1</definedName>
    <definedName name="solver_rhs5" localSheetId="1" hidden="1">'C-D Model'!$C$6</definedName>
    <definedName name="solver_rhs6" localSheetId="1" hidden="1">'C-D Model'!$C$6</definedName>
    <definedName name="solver_rhs7" localSheetId="1" hidden="1">'C-D Model'!$C$6</definedName>
    <definedName name="solver_rhs8" localSheetId="1" hidden="1">'C-D Model'!$C$6</definedName>
    <definedName name="solver_rhs9" localSheetId="1" hidden="1">#REF!</definedName>
    <definedName name="solver_rlx" localSheetId="1" hidden="1">2</definedName>
    <definedName name="solver_rsd" localSheetId="1" hidden="1">0</definedName>
    <definedName name="solver_scl" localSheetId="1" hidden="1">1</definedName>
    <definedName name="solver_sho" localSheetId="1" hidden="1">1</definedName>
    <definedName name="solver_ssz" localSheetId="1" hidden="1">100</definedName>
    <definedName name="solver_tim" localSheetId="1" hidden="1">2147483647</definedName>
    <definedName name="solver_tol" localSheetId="1" hidden="1">0.01</definedName>
    <definedName name="solver_typ" localSheetId="1" hidden="1">1</definedName>
    <definedName name="solver_val" localSheetId="1" hidden="1">0</definedName>
    <definedName name="solver_ver" localSheetId="1" hidden="1">3</definedName>
    <definedName name="Taka_per_Dollar">'[1]General Assumptions'!$B$5</definedName>
    <definedName name="Wage">'[1](BD) Workers'!$B$4</definedName>
    <definedName name="Weeks_per_Year">'[1]General Assumptions'!$B$7</definedName>
    <definedName name="Workers">'[1](BD) Workers'!$B$19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T32" i="6" l="1"/>
  <c r="T31" i="6"/>
  <c r="T30" i="6"/>
  <c r="T29" i="6"/>
  <c r="T28" i="6"/>
  <c r="T27" i="6"/>
  <c r="T26" i="6"/>
  <c r="T25" i="6"/>
  <c r="T24" i="6"/>
  <c r="T23" i="6"/>
  <c r="T22" i="6"/>
  <c r="T21" i="6"/>
  <c r="T20" i="6"/>
  <c r="T19" i="6"/>
  <c r="K32" i="6"/>
  <c r="K31" i="6"/>
  <c r="K30" i="6"/>
  <c r="K29" i="6"/>
  <c r="K28" i="6"/>
  <c r="K27" i="6"/>
  <c r="K26" i="6"/>
  <c r="K25" i="6"/>
  <c r="K24" i="6"/>
  <c r="K23" i="6"/>
  <c r="K22" i="6"/>
  <c r="K21" i="6"/>
  <c r="K20" i="6"/>
  <c r="K19" i="6"/>
  <c r="AA18" i="6"/>
  <c r="Z18" i="6"/>
  <c r="Y18" i="6"/>
  <c r="X18" i="6"/>
  <c r="W18" i="6"/>
  <c r="V18" i="6"/>
  <c r="U18" i="6"/>
  <c r="R18" i="6"/>
  <c r="Q18" i="6"/>
  <c r="P18" i="6"/>
  <c r="O18" i="6"/>
  <c r="N18" i="6"/>
  <c r="M18" i="6"/>
  <c r="L18" i="6"/>
  <c r="T66" i="6" l="1"/>
  <c r="T65" i="6"/>
  <c r="T64" i="6"/>
  <c r="T63" i="6"/>
  <c r="T62" i="6"/>
  <c r="T61" i="6"/>
  <c r="T60" i="6"/>
  <c r="T59" i="6"/>
  <c r="T58" i="6"/>
  <c r="T57" i="6"/>
  <c r="T56" i="6"/>
  <c r="T55" i="6"/>
  <c r="T54" i="6"/>
  <c r="T53" i="6"/>
  <c r="AA52" i="6"/>
  <c r="Z52" i="6"/>
  <c r="Y52" i="6"/>
  <c r="X52" i="6"/>
  <c r="W52" i="6"/>
  <c r="V52" i="6"/>
  <c r="U52" i="6"/>
  <c r="T49" i="6"/>
  <c r="T48" i="6"/>
  <c r="T47" i="6"/>
  <c r="T46" i="6"/>
  <c r="T45" i="6"/>
  <c r="T44" i="6"/>
  <c r="T43" i="6"/>
  <c r="T42" i="6"/>
  <c r="T41" i="6"/>
  <c r="T40" i="6"/>
  <c r="T39" i="6"/>
  <c r="T38" i="6"/>
  <c r="T37" i="6"/>
  <c r="T36" i="6"/>
  <c r="AA35" i="6"/>
  <c r="Z35" i="6"/>
  <c r="Y35" i="6"/>
  <c r="X35" i="6"/>
  <c r="W35" i="6"/>
  <c r="V35" i="6"/>
  <c r="U35" i="6"/>
  <c r="K66" i="6"/>
  <c r="K65" i="6"/>
  <c r="K64" i="6"/>
  <c r="K63" i="6"/>
  <c r="K62" i="6"/>
  <c r="K61" i="6"/>
  <c r="K60" i="6"/>
  <c r="K59" i="6"/>
  <c r="K58" i="6"/>
  <c r="K57" i="6"/>
  <c r="K56" i="6"/>
  <c r="K55" i="6"/>
  <c r="K54" i="6"/>
  <c r="K53" i="6"/>
  <c r="R52" i="6"/>
  <c r="Q52" i="6"/>
  <c r="P52" i="6"/>
  <c r="O52" i="6"/>
  <c r="N52" i="6"/>
  <c r="M52" i="6"/>
  <c r="L52" i="6"/>
  <c r="K49" i="6"/>
  <c r="K48" i="6"/>
  <c r="K47" i="6"/>
  <c r="K46" i="6"/>
  <c r="K45" i="6"/>
  <c r="K44" i="6"/>
  <c r="K43" i="6"/>
  <c r="K42" i="6"/>
  <c r="K41" i="6"/>
  <c r="K40" i="6"/>
  <c r="K39" i="6"/>
  <c r="K38" i="6"/>
  <c r="K37" i="6"/>
  <c r="K36" i="6"/>
  <c r="R35" i="6"/>
  <c r="Q35" i="6"/>
  <c r="P35" i="6"/>
  <c r="O35" i="6"/>
  <c r="N35" i="6"/>
  <c r="M35" i="6"/>
  <c r="L35" i="6"/>
  <c r="B66" i="6"/>
  <c r="B49" i="6"/>
  <c r="B65" i="6"/>
  <c r="B48" i="6"/>
  <c r="B64" i="6"/>
  <c r="B47" i="6"/>
  <c r="B63" i="6"/>
  <c r="B46" i="6"/>
  <c r="B62" i="6"/>
  <c r="B45" i="6"/>
  <c r="B61" i="6"/>
  <c r="B44" i="6"/>
  <c r="B60" i="6"/>
  <c r="B43" i="6"/>
  <c r="B59" i="6"/>
  <c r="B42" i="6"/>
  <c r="B58" i="6"/>
  <c r="B41" i="6"/>
  <c r="B57" i="6"/>
  <c r="B40" i="6"/>
  <c r="B56" i="6"/>
  <c r="B39" i="6"/>
  <c r="B55" i="6"/>
  <c r="B38" i="6"/>
  <c r="B54" i="6"/>
  <c r="B37" i="6"/>
  <c r="B53" i="6"/>
  <c r="B36" i="6"/>
  <c r="I52" i="6"/>
  <c r="H52" i="6"/>
  <c r="G52" i="6"/>
  <c r="F52" i="6"/>
  <c r="E52" i="6"/>
  <c r="D52" i="6"/>
  <c r="C52" i="6"/>
  <c r="I35" i="6"/>
  <c r="H35" i="6"/>
  <c r="G35" i="6"/>
  <c r="F35" i="6"/>
  <c r="E35" i="6"/>
  <c r="D35" i="6"/>
  <c r="C35" i="6"/>
  <c r="D7" i="6"/>
</calcChain>
</file>

<file path=xl/sharedStrings.xml><?xml version="1.0" encoding="utf-8"?>
<sst xmlns="http://schemas.openxmlformats.org/spreadsheetml/2006/main" count="78" uniqueCount="63">
  <si>
    <t>α</t>
  </si>
  <si>
    <t>β</t>
  </si>
  <si>
    <t>α+β</t>
  </si>
  <si>
    <r>
      <t>Y = A K</t>
    </r>
    <r>
      <rPr>
        <i/>
        <vertAlign val="superscript"/>
        <sz val="10"/>
        <rFont val="Arial"/>
        <family val="2"/>
      </rPr>
      <t>α</t>
    </r>
    <r>
      <rPr>
        <i/>
        <sz val="10"/>
        <rFont val="Arial"/>
        <family val="2"/>
      </rPr>
      <t>L</t>
    </r>
    <r>
      <rPr>
        <i/>
        <vertAlign val="superscript"/>
        <sz val="10"/>
        <rFont val="Arial"/>
        <family val="2"/>
      </rPr>
      <t>β</t>
    </r>
    <r>
      <rPr>
        <i/>
        <sz val="10"/>
        <rFont val="Calibri"/>
        <family val="2"/>
        <scheme val="minor"/>
      </rPr>
      <t/>
    </r>
  </si>
  <si>
    <t>Manufacturing Overhead per unit</t>
  </si>
  <si>
    <t>Setup time, in days</t>
  </si>
  <si>
    <t xml:space="preserve">Batch size </t>
  </si>
  <si>
    <t xml:space="preserve">Minimum capital </t>
  </si>
  <si>
    <t>Depreciation years</t>
  </si>
  <si>
    <t># of days per year</t>
  </si>
  <si>
    <t>Materials cost per unit</t>
  </si>
  <si>
    <t>Daily Throughput in units, including setup time</t>
  </si>
  <si>
    <t>A</t>
  </si>
  <si>
    <t>K</t>
  </si>
  <si>
    <t>Batch size</t>
  </si>
  <si>
    <t>Initial Factory Parameters</t>
  </si>
  <si>
    <t>Technology</t>
  </si>
  <si>
    <t>Bench</t>
  </si>
  <si>
    <t>Heart View Price</t>
  </si>
  <si>
    <t>$10 / unit</t>
  </si>
  <si>
    <t>20% of price</t>
  </si>
  <si>
    <t>100 units</t>
  </si>
  <si>
    <t>Other</t>
  </si>
  <si>
    <t>Tax Rate</t>
  </si>
  <si>
    <t>Handling Cost</t>
  </si>
  <si>
    <t>Sales Commission</t>
  </si>
  <si>
    <t>$700 / unit</t>
  </si>
  <si>
    <t>$2,500 / day</t>
  </si>
  <si>
    <t>Per Unit</t>
  </si>
  <si>
    <t>Per Day</t>
  </si>
  <si>
    <t>Revenue</t>
  </si>
  <si>
    <t>Manufacturing Overhead</t>
  </si>
  <si>
    <t>Materials</t>
  </si>
  <si>
    <t>Shipping</t>
  </si>
  <si>
    <t>Handling ($10 per unit)</t>
  </si>
  <si>
    <t>Commission (20% of revenue)</t>
  </si>
  <si>
    <t>Contribution Margin before Tax</t>
  </si>
  <si>
    <t>Tax (35% tax rate)</t>
  </si>
  <si>
    <t>Contribution Margin after Tax</t>
  </si>
  <si>
    <t>Manufacturing Overhead plus Materials Cost per unit</t>
  </si>
  <si>
    <t>Line</t>
  </si>
  <si>
    <t>Cell</t>
  </si>
  <si>
    <t>Instructions</t>
  </si>
  <si>
    <t>C-D Model:</t>
  </si>
  <si>
    <t>Initial Parameters:</t>
  </si>
  <si>
    <t>Initial Distribution Center Parameters</t>
  </si>
  <si>
    <t>Contribution Margin Table:</t>
  </si>
  <si>
    <t>In the C-D Model tab, fill in the formulas in the grids to calculate daily throughput, manufacturing overhead per unit, and manufacturing overhead + materials cost per unit.</t>
  </si>
  <si>
    <t>The Cobb-Douglas equation for annual throughput is in the light blue box at the top of the sheet.</t>
  </si>
  <si>
    <t>The parameters for A, alpha, and beta for each factory type are listed in the factory parameters boxes at the top of the sheet to the left of the Cobb-Douglas equation.</t>
  </si>
  <si>
    <t>Your formulas should reference the factory parameters at the top of the sheet, and the K and L values in each grid's row and column labels.</t>
  </si>
  <si>
    <t>The cells highlighted in yellow are intended to contain changeable inputs for your formulas. The values in the other cells should not be changed.</t>
  </si>
  <si>
    <t>Rows for values of K that are less than the minimum required capital for a factory type are grayed out.</t>
  </si>
  <si>
    <r>
      <t xml:space="preserve">You can find more information on the Cobb-Douglas function in the Production section of the </t>
    </r>
    <r>
      <rPr>
        <i/>
        <sz val="11"/>
        <color theme="1"/>
        <rFont val="Calibri"/>
        <family val="2"/>
        <scheme val="minor"/>
      </rPr>
      <t xml:space="preserve">Gleacher Game Case Brief </t>
    </r>
    <r>
      <rPr>
        <sz val="11"/>
        <color theme="1"/>
        <rFont val="Calibri"/>
        <family val="2"/>
        <scheme val="minor"/>
      </rPr>
      <t>posted on Canvas.</t>
    </r>
  </si>
  <si>
    <t>The Initial Parameters tab is included for your convenience. It contains some factory, distribution center, and tax rate parameters for the start of the simulation.</t>
  </si>
  <si>
    <r>
      <t xml:space="preserve">A more comprehensive summary of simulation parameters can be found in the </t>
    </r>
    <r>
      <rPr>
        <i/>
        <sz val="11"/>
        <color theme="1"/>
        <rFont val="Calibri"/>
        <family val="2"/>
        <scheme val="minor"/>
      </rPr>
      <t xml:space="preserve">Quick Reference </t>
    </r>
    <r>
      <rPr>
        <sz val="11"/>
        <color theme="1"/>
        <rFont val="Calibri"/>
        <family val="2"/>
        <scheme val="minor"/>
      </rPr>
      <t>document posted on Canvas.</t>
    </r>
  </si>
  <si>
    <t>The Contribution Margin Table tab contains a template, included here for your convenience, that you can use for calculating contribution margin per unit and per day.</t>
  </si>
  <si>
    <t>Bench Factory Parameters</t>
  </si>
  <si>
    <t>Line Factory Parameters</t>
  </si>
  <si>
    <t>Cell Factory Parameters</t>
  </si>
  <si>
    <r>
      <t>The capital (K) and daily labor (L</t>
    </r>
    <r>
      <rPr>
        <vertAlign val="subscript"/>
        <sz val="11"/>
        <color theme="1"/>
        <rFont val="Calibri"/>
        <family val="2"/>
        <scheme val="minor"/>
      </rPr>
      <t>daily</t>
    </r>
    <r>
      <rPr>
        <sz val="11"/>
        <color theme="1"/>
        <rFont val="Calibri"/>
        <family val="2"/>
        <scheme val="minor"/>
      </rPr>
      <t>) inputs for the Cobb-Douglas function are listed in the row and column labels for each grid. Daily labor is referred to as daily expenditure in the simulation.</t>
    </r>
  </si>
  <si>
    <r>
      <t>L</t>
    </r>
    <r>
      <rPr>
        <vertAlign val="subscript"/>
        <sz val="11"/>
        <color theme="1"/>
        <rFont val="Calibri"/>
        <family val="2"/>
        <scheme val="minor"/>
      </rPr>
      <t>daily</t>
    </r>
  </si>
  <si>
    <r>
      <t>K ↓ vs L</t>
    </r>
    <r>
      <rPr>
        <b/>
        <vertAlign val="subscript"/>
        <sz val="10"/>
        <color theme="0"/>
        <rFont val="Arial"/>
        <family val="2"/>
      </rPr>
      <t>daily</t>
    </r>
    <r>
      <rPr>
        <b/>
        <sz val="10"/>
        <color theme="0"/>
        <rFont val="Arial"/>
        <family val="2"/>
      </rPr>
      <t xml:space="preserve"> →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</si>
</sst>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5" formatCode="&quot;$&quot;#,##0_);\(&quot;$&quot;#,##0\)"/>
    <numFmt numFmtId="6" formatCode="&quot;$&quot;#,##0_);[Red]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_(* #,##0.000_);_(* \(#,##0.000\);_(* &quot;-&quot;??_);_(@_)"/>
    <numFmt numFmtId="167" formatCode="_(&quot;$&quot;* #,##0_);_(&quot;$&quot;* \(#,##0\);_(&quot;$&quot;* &quot;-&quot;??_);_(@_)"/>
    <numFmt numFmtId="168" formatCode="#,##0%_);[Red]\(#,##0%\)"/>
    <numFmt numFmtId="169" formatCode="#,##0;\-#,##0;&quot;-&quot;"/>
    <numFmt numFmtId="170" formatCode="#,##0,,_);[Red]\(#,##0,,\);&quot;- &quot;"/>
    <numFmt numFmtId="171" formatCode="#.##000"/>
    <numFmt numFmtId="172" formatCode="0.0%"/>
    <numFmt numFmtId="173" formatCode="General_)"/>
    <numFmt numFmtId="174" formatCode="_(* #,##0.0000_);_(* \(#,##0.0000\);_(* &quot;-&quot;??_);_(@_)"/>
    <numFmt numFmtId="175" formatCode="&quot;$&quot;#,##0"/>
    <numFmt numFmtId="176" formatCode="0\)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0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8"/>
      <name val="Tahoma"/>
      <family val="2"/>
    </font>
    <font>
      <sz val="12"/>
      <name val="Times"/>
      <family val="1"/>
    </font>
    <font>
      <b/>
      <sz val="10"/>
      <color indexed="9"/>
      <name val="Times New Roman"/>
      <family val="1"/>
    </font>
    <font>
      <sz val="11"/>
      <color theme="1"/>
      <name val="Calibri"/>
      <family val="2"/>
      <charset val="134"/>
      <scheme val="minor"/>
    </font>
    <font>
      <sz val="12"/>
      <color theme="1"/>
      <name val="Calibri"/>
      <family val="2"/>
      <scheme val="minor"/>
    </font>
    <font>
      <b/>
      <sz val="18"/>
      <color indexed="8"/>
      <name val="Arial"/>
      <family val="2"/>
    </font>
    <font>
      <sz val="10"/>
      <name val="Geneva"/>
      <family val="2"/>
    </font>
    <font>
      <sz val="8"/>
      <name val="Arial"/>
      <family val="2"/>
    </font>
    <font>
      <b/>
      <sz val="26"/>
      <color indexed="8"/>
      <name val="Times New Roman"/>
      <family val="1"/>
    </font>
    <font>
      <b/>
      <sz val="8"/>
      <color indexed="9"/>
      <name val="Tahoma"/>
      <family val="2"/>
    </font>
    <font>
      <b/>
      <sz val="8"/>
      <color indexed="8"/>
      <name val="Tahoma"/>
      <family val="2"/>
    </font>
    <font>
      <b/>
      <sz val="8"/>
      <name val="MS Sans Serif"/>
      <family val="2"/>
    </font>
    <font>
      <u/>
      <sz val="10"/>
      <color indexed="12"/>
      <name val="Geneva"/>
      <family val="2"/>
    </font>
    <font>
      <sz val="10"/>
      <color indexed="8"/>
      <name val="Courier"/>
      <family val="3"/>
    </font>
    <font>
      <sz val="11"/>
      <color theme="1"/>
      <name val="Calibri"/>
      <family val="2"/>
      <charset val="178"/>
      <scheme val="minor"/>
    </font>
    <font>
      <sz val="10"/>
      <color rgb="FF000000"/>
      <name val="Arial"/>
      <family val="2"/>
    </font>
    <font>
      <b/>
      <sz val="24"/>
      <color indexed="8"/>
      <name val="Times New Roman"/>
      <family val="1"/>
    </font>
    <font>
      <sz val="8"/>
      <name val="Times New Roman"/>
      <family val="1"/>
    </font>
    <font>
      <sz val="8"/>
      <name val="Wingdings"/>
      <charset val="2"/>
    </font>
    <font>
      <sz val="8"/>
      <name val="Helvetica"/>
      <family val="2"/>
    </font>
    <font>
      <sz val="8"/>
      <name val="MS Sans Serif"/>
      <family val="2"/>
    </font>
    <font>
      <b/>
      <sz val="8"/>
      <color indexed="8"/>
      <name val="Helvetica"/>
      <family val="2"/>
    </font>
    <font>
      <b/>
      <sz val="10"/>
      <name val="Times New Roman"/>
      <family val="1"/>
    </font>
    <font>
      <u val="double"/>
      <sz val="8"/>
      <color indexed="8"/>
      <name val="Arial"/>
      <family val="2"/>
    </font>
    <font>
      <b/>
      <sz val="9"/>
      <color indexed="10"/>
      <name val="Wingdings"/>
      <charset val="2"/>
    </font>
    <font>
      <sz val="12"/>
      <name val="宋体"/>
      <charset val="134"/>
    </font>
    <font>
      <i/>
      <sz val="10"/>
      <name val="Arial"/>
      <family val="2"/>
    </font>
    <font>
      <i/>
      <vertAlign val="superscript"/>
      <sz val="10"/>
      <name val="Arial"/>
      <family val="2"/>
    </font>
    <font>
      <sz val="10"/>
      <color theme="1"/>
      <name val="Arial"/>
      <family val="2"/>
    </font>
    <font>
      <b/>
      <sz val="10"/>
      <color theme="0"/>
      <name val="Arial"/>
      <family val="2"/>
    </font>
    <font>
      <b/>
      <sz val="10"/>
      <color theme="1"/>
      <name val="Arial"/>
      <family val="2"/>
    </font>
    <font>
      <i/>
      <sz val="10"/>
      <color theme="1"/>
      <name val="Arial"/>
      <family val="2"/>
    </font>
    <font>
      <b/>
      <sz val="10"/>
      <color rgb="FF0033CC"/>
      <name val="Arial"/>
      <family val="2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i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b/>
      <vertAlign val="subscript"/>
      <sz val="10"/>
      <color theme="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9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indexed="26"/>
        <bgColor indexed="64"/>
      </patternFill>
    </fill>
    <fill>
      <patternFill patternType="darkVertical"/>
    </fill>
    <fill>
      <patternFill patternType="solid">
        <fgColor theme="4" tint="-0.49998474074526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5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theme="0" tint="-0.24994659260841701"/>
      </right>
      <top style="thin">
        <color auto="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auto="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theme="0" tint="-0.24994659260841701"/>
      </right>
      <top style="thin">
        <color theme="0" tint="-0.24994659260841701"/>
      </top>
      <bottom style="thin">
        <color auto="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auto="1"/>
      </bottom>
      <diagonal/>
    </border>
    <border>
      <left style="thin">
        <color theme="0" tint="-0.2499465926084170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theme="0" tint="-0.24994659260841701"/>
      </right>
      <top style="thin">
        <color auto="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auto="1"/>
      </bottom>
      <diagonal/>
    </border>
    <border>
      <left style="medium">
        <color indexed="64"/>
      </left>
      <right style="thin">
        <color theme="0" tint="-0.24994659260841701"/>
      </right>
      <top style="medium">
        <color indexed="64"/>
      </top>
      <bottom style="medium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indexed="64"/>
      </top>
      <bottom style="medium">
        <color indexed="64"/>
      </bottom>
      <diagonal/>
    </border>
    <border>
      <left style="thin">
        <color theme="0" tint="-0.2499465926084170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theme="0" tint="-0.24994659260841701"/>
      </bottom>
      <diagonal/>
    </border>
    <border>
      <left style="medium">
        <color indexed="64"/>
      </left>
      <right style="medium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 style="medium">
        <color indexed="64"/>
      </right>
      <top style="thin">
        <color theme="0" tint="-0.24994659260841701"/>
      </top>
      <bottom style="medium">
        <color indexed="64"/>
      </bottom>
      <diagonal/>
    </border>
    <border>
      <left style="thin">
        <color auto="1"/>
      </left>
      <right style="thin">
        <color theme="0" tint="-0.24994659260841701"/>
      </right>
      <top/>
      <bottom/>
      <diagonal/>
    </border>
    <border>
      <left style="thin">
        <color auto="1"/>
      </left>
      <right style="thin">
        <color theme="0" tint="-0.24994659260841701"/>
      </right>
      <top/>
      <bottom style="thin">
        <color indexed="64"/>
      </bottom>
      <diagonal/>
    </border>
    <border>
      <left style="thin">
        <color auto="1"/>
      </left>
      <right style="thin">
        <color theme="0" tint="-0.34998626667073579"/>
      </right>
      <top style="thin">
        <color auto="1"/>
      </top>
      <bottom style="thin">
        <color auto="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auto="1"/>
      </top>
      <bottom style="thin">
        <color auto="1"/>
      </bottom>
      <diagonal/>
    </border>
    <border>
      <left style="thin">
        <color theme="0" tint="-0.34998626667073579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34998626667073579"/>
      </bottom>
      <diagonal/>
    </border>
    <border>
      <left style="thin">
        <color auto="1"/>
      </left>
      <right style="thin">
        <color auto="1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auto="1"/>
      </left>
      <right style="thin">
        <color auto="1"/>
      </right>
      <top style="thin">
        <color theme="0" tint="-0.34998626667073579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theme="0" tint="-0.24994659260841701"/>
      </left>
      <right style="thin">
        <color indexed="64"/>
      </right>
      <top/>
      <bottom/>
      <diagonal/>
    </border>
    <border>
      <left style="thin">
        <color theme="0" tint="-0.24994659260841701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theme="0" tint="-0.24994659260841701"/>
      </right>
      <top style="thin">
        <color auto="1"/>
      </top>
      <bottom/>
      <diagonal/>
    </border>
    <border>
      <left style="thin">
        <color theme="0" tint="-0.24994659260841701"/>
      </left>
      <right style="thin">
        <color indexed="64"/>
      </right>
      <top style="thin">
        <color auto="1"/>
      </top>
      <bottom/>
      <diagonal/>
    </border>
    <border>
      <left/>
      <right style="medium">
        <color rgb="FFBFBFBF"/>
      </right>
      <top/>
      <bottom/>
      <diagonal/>
    </border>
    <border>
      <left/>
      <right style="medium">
        <color rgb="FFBFBFBF"/>
      </right>
      <top/>
      <bottom style="medium">
        <color rgb="FFBFBFBF"/>
      </bottom>
      <diagonal/>
    </border>
    <border>
      <left/>
      <right style="medium">
        <color rgb="FFBFBFBF"/>
      </right>
      <top/>
      <bottom style="medium">
        <color indexed="64"/>
      </bottom>
      <diagonal/>
    </border>
    <border>
      <left style="thin">
        <color auto="1"/>
      </left>
      <right style="thin">
        <color theme="0" tint="-4.9989318521683403E-2"/>
      </right>
      <top style="thin">
        <color auto="1"/>
      </top>
      <bottom style="thin">
        <color auto="1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auto="1"/>
      </top>
      <bottom style="thin">
        <color auto="1"/>
      </bottom>
      <diagonal/>
    </border>
    <border>
      <left style="thin">
        <color theme="0" tint="-4.9989318521683403E-2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36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3" fillId="0" borderId="0"/>
    <xf numFmtId="0" fontId="4" fillId="0" borderId="0"/>
    <xf numFmtId="37" fontId="5" fillId="4" borderId="5" applyBorder="0" applyProtection="0">
      <alignment vertical="center"/>
    </xf>
    <xf numFmtId="0" fontId="6" fillId="0" borderId="0" applyNumberFormat="0" applyFill="0" applyBorder="0" applyAlignment="0" applyProtection="0"/>
    <xf numFmtId="169" fontId="7" fillId="0" borderId="0" applyFill="0" applyBorder="0" applyAlignment="0"/>
    <xf numFmtId="43" fontId="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4" fillId="0" borderId="0" applyFont="0" applyFill="0" applyBorder="0" applyAlignment="0" applyProtection="0"/>
    <xf numFmtId="5" fontId="10" fillId="5" borderId="0">
      <alignment horizontal="right" vertical="center"/>
    </xf>
    <xf numFmtId="44" fontId="4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11" fillId="0" borderId="0" applyFont="0" applyFill="0" applyBorder="0" applyAlignment="0" applyProtection="0"/>
    <xf numFmtId="38" fontId="12" fillId="6" borderId="0" applyNumberFormat="0" applyBorder="0" applyAlignment="0" applyProtection="0"/>
    <xf numFmtId="0" fontId="13" fillId="7" borderId="0">
      <alignment vertical="center"/>
    </xf>
    <xf numFmtId="37" fontId="14" fillId="8" borderId="3" applyBorder="0">
      <alignment horizontal="left" vertical="center" indent="1"/>
    </xf>
    <xf numFmtId="37" fontId="14" fillId="8" borderId="3" applyBorder="0">
      <alignment horizontal="left" vertical="center" indent="1"/>
    </xf>
    <xf numFmtId="37" fontId="15" fillId="0" borderId="8">
      <alignment vertical="center"/>
    </xf>
    <xf numFmtId="0" fontId="15" fillId="9" borderId="9" applyNumberFormat="0">
      <alignment horizontal="left" vertical="top" indent="1"/>
    </xf>
    <xf numFmtId="0" fontId="15" fillId="4" borderId="0" applyBorder="0">
      <alignment horizontal="left" vertical="center" indent="1"/>
    </xf>
    <xf numFmtId="0" fontId="15" fillId="0" borderId="9" applyNumberFormat="0" applyFill="0">
      <alignment horizontal="centerContinuous" vertical="top"/>
    </xf>
    <xf numFmtId="0" fontId="16" fillId="0" borderId="9">
      <alignment horizontal="center"/>
    </xf>
    <xf numFmtId="0" fontId="16" fillId="0" borderId="0">
      <alignment horizontal="center"/>
    </xf>
    <xf numFmtId="0" fontId="17" fillId="0" borderId="0" applyNumberFormat="0" applyFill="0" applyBorder="0" applyAlignment="0" applyProtection="0">
      <alignment vertical="top"/>
      <protection locked="0"/>
    </xf>
    <xf numFmtId="10" fontId="12" fillId="10" borderId="2" applyNumberFormat="0" applyBorder="0" applyAlignment="0" applyProtection="0"/>
    <xf numFmtId="170" fontId="18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0" fontId="4" fillId="0" borderId="0"/>
    <xf numFmtId="0" fontId="9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0" fontId="4" fillId="0" borderId="0"/>
    <xf numFmtId="0" fontId="4" fillId="0" borderId="0"/>
    <xf numFmtId="0" fontId="1" fillId="0" borderId="0"/>
    <xf numFmtId="171" fontId="1" fillId="0" borderId="0"/>
    <xf numFmtId="0" fontId="4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0" fontId="4" fillId="0" borderId="0"/>
    <xf numFmtId="0" fontId="1" fillId="0" borderId="0"/>
    <xf numFmtId="171" fontId="1" fillId="0" borderId="0"/>
    <xf numFmtId="171" fontId="1" fillId="0" borderId="0"/>
    <xf numFmtId="171" fontId="19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2" fontId="1" fillId="0" borderId="0"/>
    <xf numFmtId="165" fontId="1" fillId="0" borderId="0"/>
    <xf numFmtId="165" fontId="1" fillId="0" borderId="0"/>
    <xf numFmtId="165" fontId="1" fillId="0" borderId="0"/>
    <xf numFmtId="0" fontId="4" fillId="0" borderId="0"/>
    <xf numFmtId="0" fontId="4" fillId="0" borderId="0"/>
    <xf numFmtId="171" fontId="1" fillId="0" borderId="0"/>
    <xf numFmtId="171" fontId="1" fillId="0" borderId="0"/>
    <xf numFmtId="171" fontId="1" fillId="0" borderId="0"/>
    <xf numFmtId="0" fontId="4" fillId="0" borderId="0"/>
    <xf numFmtId="171" fontId="1" fillId="0" borderId="0"/>
    <xf numFmtId="171" fontId="1" fillId="0" borderId="0"/>
    <xf numFmtId="171" fontId="1" fillId="0" borderId="0"/>
    <xf numFmtId="0" fontId="4" fillId="0" borderId="0"/>
    <xf numFmtId="171" fontId="1" fillId="0" borderId="0"/>
    <xf numFmtId="0" fontId="4" fillId="0" borderId="0"/>
    <xf numFmtId="0" fontId="4" fillId="0" borderId="0"/>
    <xf numFmtId="0" fontId="4" fillId="0" borderId="0"/>
    <xf numFmtId="171" fontId="1" fillId="0" borderId="0"/>
    <xf numFmtId="0" fontId="4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5" fontId="18" fillId="5" borderId="0"/>
    <xf numFmtId="171" fontId="1" fillId="0" borderId="0"/>
    <xf numFmtId="171" fontId="1" fillId="0" borderId="0"/>
    <xf numFmtId="171" fontId="1" fillId="0" borderId="0"/>
    <xf numFmtId="0" fontId="1" fillId="0" borderId="0"/>
    <xf numFmtId="0" fontId="9" fillId="0" borderId="0"/>
    <xf numFmtId="171" fontId="1" fillId="0" borderId="0"/>
    <xf numFmtId="0" fontId="4" fillId="0" borderId="0"/>
    <xf numFmtId="0" fontId="11" fillId="0" borderId="0"/>
    <xf numFmtId="0" fontId="9" fillId="0" borderId="0"/>
    <xf numFmtId="0" fontId="20" fillId="0" borderId="0"/>
    <xf numFmtId="173" fontId="21" fillId="0" borderId="0">
      <alignment horizontal="left" vertical="center"/>
    </xf>
    <xf numFmtId="14" fontId="22" fillId="0" borderId="0">
      <alignment horizontal="center" wrapText="1"/>
      <protection locked="0"/>
    </xf>
    <xf numFmtId="10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23" fillId="11" borderId="0" applyNumberFormat="0" applyFont="0" applyBorder="0" applyAlignment="0">
      <alignment horizontal="center"/>
    </xf>
    <xf numFmtId="14" fontId="24" fillId="0" borderId="0" applyNumberFormat="0" applyFill="0" applyBorder="0" applyAlignment="0" applyProtection="0">
      <alignment horizontal="left"/>
    </xf>
    <xf numFmtId="0" fontId="25" fillId="0" borderId="0" applyNumberFormat="0" applyFill="0" applyBorder="0" applyAlignment="0">
      <alignment horizontal="center"/>
    </xf>
    <xf numFmtId="40" fontId="26" fillId="0" borderId="0" applyBorder="0">
      <alignment horizontal="right"/>
    </xf>
    <xf numFmtId="0" fontId="27" fillId="0" borderId="0">
      <alignment horizontal="centerContinuous"/>
    </xf>
    <xf numFmtId="0" fontId="28" fillId="0" borderId="0">
      <alignment horizontal="fill"/>
    </xf>
    <xf numFmtId="0" fontId="29" fillId="6" borderId="0">
      <alignment horizontal="center"/>
    </xf>
    <xf numFmtId="0" fontId="30" fillId="0" borderId="0"/>
  </cellStyleXfs>
  <cellXfs count="90">
    <xf numFmtId="0" fontId="0" fillId="0" borderId="0" xfId="0"/>
    <xf numFmtId="0" fontId="33" fillId="0" borderId="0" xfId="0" applyFont="1"/>
    <xf numFmtId="0" fontId="33" fillId="0" borderId="0" xfId="0" applyFont="1" applyAlignment="1">
      <alignment vertical="center"/>
    </xf>
    <xf numFmtId="166" fontId="33" fillId="0" borderId="11" xfId="1" applyNumberFormat="1" applyFont="1" applyBorder="1" applyAlignment="1">
      <alignment horizontal="right" vertical="center"/>
    </xf>
    <xf numFmtId="166" fontId="33" fillId="0" borderId="12" xfId="1" applyNumberFormat="1" applyFont="1" applyBorder="1" applyAlignment="1">
      <alignment horizontal="right" vertical="center"/>
    </xf>
    <xf numFmtId="166" fontId="33" fillId="0" borderId="14" xfId="1" applyNumberFormat="1" applyFont="1" applyBorder="1" applyAlignment="1">
      <alignment horizontal="right" vertical="center"/>
    </xf>
    <xf numFmtId="166" fontId="33" fillId="0" borderId="15" xfId="1" applyNumberFormat="1" applyFont="1" applyBorder="1" applyAlignment="1">
      <alignment horizontal="right" vertical="center"/>
    </xf>
    <xf numFmtId="166" fontId="33" fillId="0" borderId="17" xfId="1" applyNumberFormat="1" applyFont="1" applyBorder="1" applyAlignment="1">
      <alignment horizontal="right" vertical="center"/>
    </xf>
    <xf numFmtId="166" fontId="33" fillId="0" borderId="18" xfId="1" applyNumberFormat="1" applyFont="1" applyBorder="1" applyAlignment="1">
      <alignment horizontal="right" vertical="center"/>
    </xf>
    <xf numFmtId="43" fontId="33" fillId="0" borderId="10" xfId="1" applyFont="1" applyBorder="1" applyAlignment="1">
      <alignment horizontal="right" vertical="center"/>
    </xf>
    <xf numFmtId="43" fontId="33" fillId="0" borderId="11" xfId="1" applyFont="1" applyBorder="1" applyAlignment="1">
      <alignment horizontal="right" vertical="center"/>
    </xf>
    <xf numFmtId="43" fontId="33" fillId="0" borderId="12" xfId="1" applyFont="1" applyBorder="1" applyAlignment="1">
      <alignment horizontal="right" vertical="center"/>
    </xf>
    <xf numFmtId="43" fontId="33" fillId="0" borderId="13" xfId="1" applyFont="1" applyBorder="1" applyAlignment="1">
      <alignment horizontal="right" vertical="center"/>
    </xf>
    <xf numFmtId="43" fontId="33" fillId="0" borderId="14" xfId="1" applyFont="1" applyBorder="1" applyAlignment="1">
      <alignment horizontal="right" vertical="center"/>
    </xf>
    <xf numFmtId="43" fontId="33" fillId="0" borderId="15" xfId="1" applyFont="1" applyBorder="1" applyAlignment="1">
      <alignment horizontal="right" vertical="center"/>
    </xf>
    <xf numFmtId="43" fontId="33" fillId="0" borderId="16" xfId="1" applyFont="1" applyBorder="1" applyAlignment="1">
      <alignment horizontal="right" vertical="center"/>
    </xf>
    <xf numFmtId="43" fontId="33" fillId="0" borderId="17" xfId="1" applyFont="1" applyBorder="1" applyAlignment="1">
      <alignment horizontal="right" vertical="center"/>
    </xf>
    <xf numFmtId="43" fontId="33" fillId="0" borderId="18" xfId="1" applyFont="1" applyBorder="1" applyAlignment="1">
      <alignment horizontal="right" vertical="center"/>
    </xf>
    <xf numFmtId="0" fontId="34" fillId="13" borderId="5" xfId="0" applyFont="1" applyFill="1" applyBorder="1" applyAlignment="1">
      <alignment horizontal="right" vertical="center"/>
    </xf>
    <xf numFmtId="166" fontId="33" fillId="0" borderId="20" xfId="1" applyNumberFormat="1" applyFont="1" applyBorder="1" applyAlignment="1">
      <alignment horizontal="right" vertical="center"/>
    </xf>
    <xf numFmtId="166" fontId="33" fillId="0" borderId="21" xfId="1" applyNumberFormat="1" applyFont="1" applyBorder="1" applyAlignment="1">
      <alignment horizontal="right" vertical="center"/>
    </xf>
    <xf numFmtId="166" fontId="33" fillId="0" borderId="22" xfId="1" applyNumberFormat="1" applyFont="1" applyBorder="1" applyAlignment="1">
      <alignment horizontal="right" vertical="center"/>
    </xf>
    <xf numFmtId="164" fontId="4" fillId="2" borderId="2" xfId="0" applyNumberFormat="1" applyFont="1" applyFill="1" applyBorder="1" applyAlignment="1" applyProtection="1">
      <alignment vertical="center"/>
      <protection locked="0"/>
    </xf>
    <xf numFmtId="0" fontId="33" fillId="3" borderId="3" xfId="0" applyFont="1" applyFill="1" applyBorder="1" applyAlignment="1">
      <alignment vertical="center"/>
    </xf>
    <xf numFmtId="0" fontId="33" fillId="3" borderId="0" xfId="0" applyFont="1" applyFill="1" applyAlignment="1">
      <alignment vertical="center"/>
    </xf>
    <xf numFmtId="168" fontId="33" fillId="0" borderId="0" xfId="0" applyNumberFormat="1" applyFont="1"/>
    <xf numFmtId="43" fontId="33" fillId="0" borderId="0" xfId="1" applyFont="1"/>
    <xf numFmtId="0" fontId="36" fillId="0" borderId="0" xfId="0" applyFont="1"/>
    <xf numFmtId="164" fontId="35" fillId="14" borderId="31" xfId="1" applyNumberFormat="1" applyFont="1" applyFill="1" applyBorder="1" applyAlignment="1">
      <alignment horizontal="right" vertical="center"/>
    </xf>
    <xf numFmtId="164" fontId="35" fillId="14" borderId="32" xfId="1" applyNumberFormat="1" applyFont="1" applyFill="1" applyBorder="1" applyAlignment="1">
      <alignment horizontal="right" vertical="center"/>
    </xf>
    <xf numFmtId="164" fontId="35" fillId="14" borderId="33" xfId="1" applyNumberFormat="1" applyFont="1" applyFill="1" applyBorder="1" applyAlignment="1">
      <alignment horizontal="right" vertical="center"/>
    </xf>
    <xf numFmtId="164" fontId="35" fillId="14" borderId="34" xfId="1" applyNumberFormat="1" applyFont="1" applyFill="1" applyBorder="1" applyAlignment="1">
      <alignment horizontal="right" vertical="center"/>
    </xf>
    <xf numFmtId="164" fontId="35" fillId="14" borderId="35" xfId="1" applyNumberFormat="1" applyFont="1" applyFill="1" applyBorder="1" applyAlignment="1">
      <alignment horizontal="right" vertical="center"/>
    </xf>
    <xf numFmtId="164" fontId="35" fillId="14" borderId="36" xfId="1" applyNumberFormat="1" applyFont="1" applyFill="1" applyBorder="1" applyAlignment="1">
      <alignment horizontal="right" vertical="center"/>
    </xf>
    <xf numFmtId="0" fontId="38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2" xfId="0" applyBorder="1" applyAlignment="1">
      <alignment horizontal="center" vertical="center"/>
    </xf>
    <xf numFmtId="6" fontId="0" fillId="0" borderId="2" xfId="0" applyNumberFormat="1" applyBorder="1" applyAlignment="1">
      <alignment horizontal="center" vertical="center"/>
    </xf>
    <xf numFmtId="175" fontId="0" fillId="0" borderId="2" xfId="0" applyNumberFormat="1" applyBorder="1" applyAlignment="1">
      <alignment horizontal="center" vertical="center"/>
    </xf>
    <xf numFmtId="9" fontId="0" fillId="0" borderId="2" xfId="0" applyNumberFormat="1" applyBorder="1" applyAlignment="1">
      <alignment horizontal="center" vertical="center"/>
    </xf>
    <xf numFmtId="0" fontId="39" fillId="0" borderId="0" xfId="0" applyFont="1" applyAlignment="1">
      <alignment horizontal="justify" vertical="center" wrapText="1"/>
    </xf>
    <xf numFmtId="0" fontId="39" fillId="0" borderId="9" xfId="0" applyFont="1" applyBorder="1" applyAlignment="1">
      <alignment horizontal="center" vertical="center" wrapText="1"/>
    </xf>
    <xf numFmtId="0" fontId="39" fillId="0" borderId="45" xfId="0" applyFont="1" applyBorder="1" applyAlignment="1">
      <alignment horizontal="justify" vertical="center" wrapText="1"/>
    </xf>
    <xf numFmtId="0" fontId="39" fillId="0" borderId="46" xfId="0" applyFont="1" applyBorder="1" applyAlignment="1">
      <alignment horizontal="justify" vertical="center" wrapText="1"/>
    </xf>
    <xf numFmtId="0" fontId="39" fillId="0" borderId="44" xfId="0" applyFont="1" applyBorder="1" applyAlignment="1">
      <alignment horizontal="left" vertical="center" wrapText="1"/>
    </xf>
    <xf numFmtId="0" fontId="39" fillId="0" borderId="46" xfId="0" applyFont="1" applyBorder="1" applyAlignment="1">
      <alignment horizontal="left" vertical="center" wrapText="1"/>
    </xf>
    <xf numFmtId="0" fontId="38" fillId="0" borderId="0" xfId="0" applyFont="1"/>
    <xf numFmtId="0" fontId="41" fillId="0" borderId="0" xfId="0" applyFont="1"/>
    <xf numFmtId="176" fontId="0" fillId="0" borderId="0" xfId="0" applyNumberFormat="1"/>
    <xf numFmtId="164" fontId="37" fillId="15" borderId="23" xfId="1" applyNumberFormat="1" applyFont="1" applyFill="1" applyBorder="1" applyAlignment="1" applyProtection="1">
      <alignment horizontal="right" vertical="center"/>
      <protection locked="0"/>
    </xf>
    <xf numFmtId="164" fontId="37" fillId="15" borderId="24" xfId="1" applyNumberFormat="1" applyFont="1" applyFill="1" applyBorder="1" applyAlignment="1" applyProtection="1">
      <alignment horizontal="right" vertical="center"/>
      <protection locked="0"/>
    </xf>
    <xf numFmtId="164" fontId="37" fillId="15" borderId="25" xfId="1" applyNumberFormat="1" applyFont="1" applyFill="1" applyBorder="1" applyAlignment="1" applyProtection="1">
      <alignment horizontal="right" vertical="center"/>
      <protection locked="0"/>
    </xf>
    <xf numFmtId="164" fontId="37" fillId="15" borderId="26" xfId="1" applyNumberFormat="1" applyFont="1" applyFill="1" applyBorder="1" applyAlignment="1" applyProtection="1">
      <alignment horizontal="right" vertical="center"/>
      <protection locked="0"/>
    </xf>
    <xf numFmtId="164" fontId="37" fillId="15" borderId="27" xfId="1" applyNumberFormat="1" applyFont="1" applyFill="1" applyBorder="1" applyAlignment="1" applyProtection="1">
      <alignment horizontal="right" vertical="center"/>
      <protection locked="0"/>
    </xf>
    <xf numFmtId="164" fontId="37" fillId="15" borderId="28" xfId="1" applyNumberFormat="1" applyFont="1" applyFill="1" applyBorder="1" applyAlignment="1" applyProtection="1">
      <alignment horizontal="right" vertical="center"/>
      <protection locked="0"/>
    </xf>
    <xf numFmtId="167" fontId="37" fillId="15" borderId="19" xfId="2" applyNumberFormat="1" applyFont="1" applyFill="1" applyBorder="1" applyAlignment="1" applyProtection="1">
      <alignment vertical="center"/>
      <protection locked="0"/>
    </xf>
    <xf numFmtId="0" fontId="34" fillId="13" borderId="5" xfId="0" applyFont="1" applyFill="1" applyBorder="1" applyAlignment="1">
      <alignment horizontal="center" vertical="center"/>
    </xf>
    <xf numFmtId="0" fontId="34" fillId="13" borderId="6" xfId="0" applyFont="1" applyFill="1" applyBorder="1" applyAlignment="1">
      <alignment horizontal="center" vertical="center"/>
    </xf>
    <xf numFmtId="0" fontId="34" fillId="13" borderId="7" xfId="0" applyFont="1" applyFill="1" applyBorder="1" applyAlignment="1">
      <alignment horizontal="center" vertical="center"/>
    </xf>
    <xf numFmtId="0" fontId="34" fillId="12" borderId="5" xfId="0" applyFont="1" applyFill="1" applyBorder="1" applyAlignment="1">
      <alignment horizontal="center" vertical="center"/>
    </xf>
    <xf numFmtId="0" fontId="34" fillId="12" borderId="6" xfId="0" applyFont="1" applyFill="1" applyBorder="1" applyAlignment="1">
      <alignment horizontal="center" vertical="center"/>
    </xf>
    <xf numFmtId="0" fontId="34" fillId="12" borderId="7" xfId="0" applyFont="1" applyFill="1" applyBorder="1" applyAlignment="1">
      <alignment horizontal="center" vertical="center"/>
    </xf>
    <xf numFmtId="0" fontId="35" fillId="3" borderId="4" xfId="0" applyFont="1" applyFill="1" applyBorder="1" applyAlignment="1">
      <alignment horizontal="right" vertical="center"/>
    </xf>
    <xf numFmtId="0" fontId="35" fillId="3" borderId="1" xfId="0" applyFont="1" applyFill="1" applyBorder="1" applyAlignment="1">
      <alignment horizontal="right" vertical="center"/>
    </xf>
    <xf numFmtId="167" fontId="4" fillId="2" borderId="30" xfId="2" applyNumberFormat="1" applyFont="1" applyFill="1" applyBorder="1" applyAlignment="1" applyProtection="1">
      <alignment horizontal="center" vertical="center"/>
      <protection locked="0"/>
    </xf>
    <xf numFmtId="167" fontId="4" fillId="2" borderId="39" xfId="2" applyNumberFormat="1" applyFont="1" applyFill="1" applyBorder="1" applyAlignment="1" applyProtection="1">
      <alignment horizontal="center" vertical="center"/>
      <protection locked="0"/>
    </xf>
    <xf numFmtId="0" fontId="35" fillId="3" borderId="5" xfId="0" applyFont="1" applyFill="1" applyBorder="1" applyAlignment="1">
      <alignment horizontal="right" vertical="center" indent="1"/>
    </xf>
    <xf numFmtId="0" fontId="35" fillId="3" borderId="37" xfId="0" applyFont="1" applyFill="1" applyBorder="1" applyAlignment="1">
      <alignment horizontal="right" vertical="center" indent="1"/>
    </xf>
    <xf numFmtId="0" fontId="33" fillId="2" borderId="29" xfId="0" applyFont="1" applyFill="1" applyBorder="1" applyAlignment="1">
      <alignment horizontal="center" vertical="center"/>
    </xf>
    <xf numFmtId="0" fontId="33" fillId="2" borderId="38" xfId="0" applyFont="1" applyFill="1" applyBorder="1" applyAlignment="1">
      <alignment horizontal="center" vertical="center"/>
    </xf>
    <xf numFmtId="43" fontId="4" fillId="2" borderId="29" xfId="1" applyFont="1" applyFill="1" applyBorder="1" applyAlignment="1" applyProtection="1">
      <alignment horizontal="center" vertical="center"/>
      <protection locked="0"/>
    </xf>
    <xf numFmtId="43" fontId="4" fillId="2" borderId="38" xfId="1" applyFont="1" applyFill="1" applyBorder="1" applyAlignment="1" applyProtection="1">
      <alignment horizontal="center" vertical="center"/>
      <protection locked="0"/>
    </xf>
    <xf numFmtId="164" fontId="37" fillId="15" borderId="51" xfId="1" applyNumberFormat="1" applyFont="1" applyFill="1" applyBorder="1" applyAlignment="1" applyProtection="1">
      <alignment horizontal="center" vertical="center"/>
      <protection locked="0"/>
    </xf>
    <xf numFmtId="164" fontId="37" fillId="15" borderId="52" xfId="1" applyNumberFormat="1" applyFont="1" applyFill="1" applyBorder="1" applyAlignment="1" applyProtection="1">
      <alignment horizontal="center" vertical="center"/>
      <protection locked="0"/>
    </xf>
    <xf numFmtId="0" fontId="35" fillId="3" borderId="3" xfId="0" applyFont="1" applyFill="1" applyBorder="1" applyAlignment="1">
      <alignment horizontal="right" vertical="center"/>
    </xf>
    <xf numFmtId="0" fontId="35" fillId="3" borderId="0" xfId="0" applyFont="1" applyFill="1" applyAlignment="1">
      <alignment horizontal="right" vertical="center"/>
    </xf>
    <xf numFmtId="0" fontId="35" fillId="3" borderId="7" xfId="0" applyFont="1" applyFill="1" applyBorder="1" applyAlignment="1">
      <alignment horizontal="right" vertical="center" indent="1"/>
    </xf>
    <xf numFmtId="0" fontId="34" fillId="12" borderId="47" xfId="0" applyFont="1" applyFill="1" applyBorder="1" applyAlignment="1">
      <alignment horizontal="center" vertical="center" wrapText="1"/>
    </xf>
    <xf numFmtId="0" fontId="34" fillId="12" borderId="48" xfId="0" applyFont="1" applyFill="1" applyBorder="1" applyAlignment="1">
      <alignment horizontal="center" vertical="center" wrapText="1"/>
    </xf>
    <xf numFmtId="0" fontId="31" fillId="14" borderId="5" xfId="0" applyFont="1" applyFill="1" applyBorder="1" applyAlignment="1">
      <alignment horizontal="center" vertical="center"/>
    </xf>
    <xf numFmtId="0" fontId="31" fillId="14" borderId="6" xfId="0" applyFont="1" applyFill="1" applyBorder="1" applyAlignment="1">
      <alignment horizontal="center" vertical="center"/>
    </xf>
    <xf numFmtId="0" fontId="31" fillId="14" borderId="7" xfId="0" applyFont="1" applyFill="1" applyBorder="1" applyAlignment="1">
      <alignment horizontal="center" vertical="center"/>
    </xf>
    <xf numFmtId="0" fontId="35" fillId="3" borderId="40" xfId="0" applyFont="1" applyFill="1" applyBorder="1" applyAlignment="1">
      <alignment horizontal="right" vertical="center"/>
    </xf>
    <xf numFmtId="0" fontId="35" fillId="3" borderId="41" xfId="0" applyFont="1" applyFill="1" applyBorder="1" applyAlignment="1">
      <alignment horizontal="right" vertical="center"/>
    </xf>
    <xf numFmtId="174" fontId="4" fillId="2" borderId="42" xfId="1" applyNumberFormat="1" applyFont="1" applyFill="1" applyBorder="1" applyAlignment="1" applyProtection="1">
      <alignment horizontal="center" vertical="center"/>
      <protection locked="0"/>
    </xf>
    <xf numFmtId="174" fontId="4" fillId="2" borderId="43" xfId="1" applyNumberFormat="1" applyFont="1" applyFill="1" applyBorder="1" applyAlignment="1" applyProtection="1">
      <alignment horizontal="center" vertical="center"/>
      <protection locked="0"/>
    </xf>
    <xf numFmtId="0" fontId="34" fillId="12" borderId="49" xfId="0" applyFont="1" applyFill="1" applyBorder="1" applyAlignment="1">
      <alignment horizontal="center" vertical="center" wrapText="1"/>
    </xf>
    <xf numFmtId="174" fontId="4" fillId="2" borderId="50" xfId="1" applyNumberFormat="1" applyFont="1" applyFill="1" applyBorder="1" applyAlignment="1" applyProtection="1">
      <alignment horizontal="center" vertical="center"/>
      <protection locked="0"/>
    </xf>
    <xf numFmtId="43" fontId="4" fillId="2" borderId="29" xfId="1" applyFont="1" applyFill="1" applyBorder="1" applyAlignment="1">
      <alignment horizontal="center" vertical="center"/>
    </xf>
    <xf numFmtId="43" fontId="4" fillId="2" borderId="38" xfId="1" applyFont="1" applyFill="1" applyBorder="1" applyAlignment="1">
      <alignment horizontal="center" vertical="center"/>
    </xf>
  </cellXfs>
  <cellStyles count="136">
    <cellStyle name="amount" xfId="5" xr:uid="{00000000-0005-0000-0000-000000000000}"/>
    <cellStyle name="Body" xfId="6" xr:uid="{00000000-0005-0000-0000-000001000000}"/>
    <cellStyle name="Calc Currency (0)" xfId="7" xr:uid="{00000000-0005-0000-0000-000002000000}"/>
    <cellStyle name="Comma" xfId="1" builtinId="3"/>
    <cellStyle name="Comma 2" xfId="8" xr:uid="{00000000-0005-0000-0000-000004000000}"/>
    <cellStyle name="Comma 3" xfId="9" xr:uid="{00000000-0005-0000-0000-000005000000}"/>
    <cellStyle name="Comma 3 2" xfId="10" xr:uid="{00000000-0005-0000-0000-000006000000}"/>
    <cellStyle name="Comma 4" xfId="11" xr:uid="{00000000-0005-0000-0000-000007000000}"/>
    <cellStyle name="Comma 5" xfId="12" xr:uid="{00000000-0005-0000-0000-000008000000}"/>
    <cellStyle name="Comma 6" xfId="13" xr:uid="{00000000-0005-0000-0000-000009000000}"/>
    <cellStyle name="Comma 6 2" xfId="14" xr:uid="{00000000-0005-0000-0000-00000A000000}"/>
    <cellStyle name="Comma 7" xfId="15" xr:uid="{00000000-0005-0000-0000-00000B000000}"/>
    <cellStyle name="Comma 8" xfId="16" xr:uid="{00000000-0005-0000-0000-00000C000000}"/>
    <cellStyle name="Company Name" xfId="17" xr:uid="{00000000-0005-0000-0000-00000D000000}"/>
    <cellStyle name="Currency" xfId="2" builtinId="4"/>
    <cellStyle name="Currency 2" xfId="18" xr:uid="{00000000-0005-0000-0000-00000F000000}"/>
    <cellStyle name="Currency 3" xfId="19" xr:uid="{00000000-0005-0000-0000-000010000000}"/>
    <cellStyle name="Currency 4" xfId="20" xr:uid="{00000000-0005-0000-0000-000011000000}"/>
    <cellStyle name="Grey" xfId="21" xr:uid="{00000000-0005-0000-0000-000012000000}"/>
    <cellStyle name="Head 1" xfId="22" xr:uid="{00000000-0005-0000-0000-000013000000}"/>
    <cellStyle name="header" xfId="23" xr:uid="{00000000-0005-0000-0000-000014000000}"/>
    <cellStyle name="header 2" xfId="24" xr:uid="{00000000-0005-0000-0000-000015000000}"/>
    <cellStyle name="Header Total" xfId="25" xr:uid="{00000000-0005-0000-0000-000016000000}"/>
    <cellStyle name="Header1" xfId="26" xr:uid="{00000000-0005-0000-0000-000017000000}"/>
    <cellStyle name="Header2" xfId="27" xr:uid="{00000000-0005-0000-0000-000018000000}"/>
    <cellStyle name="Header3" xfId="28" xr:uid="{00000000-0005-0000-0000-000019000000}"/>
    <cellStyle name="HEADINGS" xfId="29" xr:uid="{00000000-0005-0000-0000-00001A000000}"/>
    <cellStyle name="HEADINGSTOP" xfId="30" xr:uid="{00000000-0005-0000-0000-00001B000000}"/>
    <cellStyle name="Hyperlink 2" xfId="31" xr:uid="{00000000-0005-0000-0000-00001C000000}"/>
    <cellStyle name="Input [yellow]" xfId="32" xr:uid="{00000000-0005-0000-0000-00001D000000}"/>
    <cellStyle name="Normal" xfId="0" builtinId="0"/>
    <cellStyle name="Normal - Style1" xfId="33" xr:uid="{00000000-0005-0000-0000-00001F000000}"/>
    <cellStyle name="Normal 10" xfId="34" xr:uid="{00000000-0005-0000-0000-000020000000}"/>
    <cellStyle name="Normal 11" xfId="35" xr:uid="{00000000-0005-0000-0000-000021000000}"/>
    <cellStyle name="Normal 12" xfId="36" xr:uid="{00000000-0005-0000-0000-000022000000}"/>
    <cellStyle name="Normal 13" xfId="37" xr:uid="{00000000-0005-0000-0000-000023000000}"/>
    <cellStyle name="Normal 14" xfId="38" xr:uid="{00000000-0005-0000-0000-000024000000}"/>
    <cellStyle name="Normal 15" xfId="39" xr:uid="{00000000-0005-0000-0000-000025000000}"/>
    <cellStyle name="Normal 16" xfId="40" xr:uid="{00000000-0005-0000-0000-000026000000}"/>
    <cellStyle name="Normal 17" xfId="41" xr:uid="{00000000-0005-0000-0000-000027000000}"/>
    <cellStyle name="Normal 18" xfId="42" xr:uid="{00000000-0005-0000-0000-000028000000}"/>
    <cellStyle name="Normal 19" xfId="43" xr:uid="{00000000-0005-0000-0000-000029000000}"/>
    <cellStyle name="Normal 2" xfId="44" xr:uid="{00000000-0005-0000-0000-00002A000000}"/>
    <cellStyle name="Normal 2 2" xfId="4" xr:uid="{00000000-0005-0000-0000-00002B000000}"/>
    <cellStyle name="Normal 2 3" xfId="45" xr:uid="{00000000-0005-0000-0000-00002C000000}"/>
    <cellStyle name="Normal 20" xfId="46" xr:uid="{00000000-0005-0000-0000-00002D000000}"/>
    <cellStyle name="Normal 21" xfId="47" xr:uid="{00000000-0005-0000-0000-00002E000000}"/>
    <cellStyle name="Normal 22" xfId="48" xr:uid="{00000000-0005-0000-0000-00002F000000}"/>
    <cellStyle name="Normal 23" xfId="49" xr:uid="{00000000-0005-0000-0000-000030000000}"/>
    <cellStyle name="Normal 24" xfId="50" xr:uid="{00000000-0005-0000-0000-000031000000}"/>
    <cellStyle name="Normal 25" xfId="51" xr:uid="{00000000-0005-0000-0000-000032000000}"/>
    <cellStyle name="Normal 26" xfId="52" xr:uid="{00000000-0005-0000-0000-000033000000}"/>
    <cellStyle name="Normal 27" xfId="53" xr:uid="{00000000-0005-0000-0000-000034000000}"/>
    <cellStyle name="Normal 28" xfId="54" xr:uid="{00000000-0005-0000-0000-000035000000}"/>
    <cellStyle name="Normal 29" xfId="55" xr:uid="{00000000-0005-0000-0000-000036000000}"/>
    <cellStyle name="Normal 3" xfId="56" xr:uid="{00000000-0005-0000-0000-000037000000}"/>
    <cellStyle name="Normal 3 2" xfId="57" xr:uid="{00000000-0005-0000-0000-000038000000}"/>
    <cellStyle name="Normal 3 2 2" xfId="58" xr:uid="{00000000-0005-0000-0000-000039000000}"/>
    <cellStyle name="Normal 3 3" xfId="3" xr:uid="{00000000-0005-0000-0000-00003A000000}"/>
    <cellStyle name="Normal 30" xfId="59" xr:uid="{00000000-0005-0000-0000-00003B000000}"/>
    <cellStyle name="Normal 31" xfId="60" xr:uid="{00000000-0005-0000-0000-00003C000000}"/>
    <cellStyle name="Normal 32" xfId="61" xr:uid="{00000000-0005-0000-0000-00003D000000}"/>
    <cellStyle name="Normal 33" xfId="62" xr:uid="{00000000-0005-0000-0000-00003E000000}"/>
    <cellStyle name="Normal 34" xfId="63" xr:uid="{00000000-0005-0000-0000-00003F000000}"/>
    <cellStyle name="Normal 35" xfId="64" xr:uid="{00000000-0005-0000-0000-000040000000}"/>
    <cellStyle name="Normal 36" xfId="65" xr:uid="{00000000-0005-0000-0000-000041000000}"/>
    <cellStyle name="Normal 37" xfId="66" xr:uid="{00000000-0005-0000-0000-000042000000}"/>
    <cellStyle name="Normal 38" xfId="67" xr:uid="{00000000-0005-0000-0000-000043000000}"/>
    <cellStyle name="Normal 39" xfId="68" xr:uid="{00000000-0005-0000-0000-000044000000}"/>
    <cellStyle name="Normal 4" xfId="69" xr:uid="{00000000-0005-0000-0000-000045000000}"/>
    <cellStyle name="Normal 40" xfId="70" xr:uid="{00000000-0005-0000-0000-000046000000}"/>
    <cellStyle name="Normal 41" xfId="71" xr:uid="{00000000-0005-0000-0000-000047000000}"/>
    <cellStyle name="Normal 42" xfId="72" xr:uid="{00000000-0005-0000-0000-000048000000}"/>
    <cellStyle name="Normal 43" xfId="73" xr:uid="{00000000-0005-0000-0000-000049000000}"/>
    <cellStyle name="Normal 44" xfId="74" xr:uid="{00000000-0005-0000-0000-00004A000000}"/>
    <cellStyle name="Normal 45" xfId="75" xr:uid="{00000000-0005-0000-0000-00004B000000}"/>
    <cellStyle name="Normal 46" xfId="76" xr:uid="{00000000-0005-0000-0000-00004C000000}"/>
    <cellStyle name="Normal 47" xfId="77" xr:uid="{00000000-0005-0000-0000-00004D000000}"/>
    <cellStyle name="Normal 48" xfId="78" xr:uid="{00000000-0005-0000-0000-00004E000000}"/>
    <cellStyle name="Normal 49" xfId="79" xr:uid="{00000000-0005-0000-0000-00004F000000}"/>
    <cellStyle name="Normal 49 2" xfId="80" xr:uid="{00000000-0005-0000-0000-000050000000}"/>
    <cellStyle name="Normal 49 3" xfId="81" xr:uid="{00000000-0005-0000-0000-000051000000}"/>
    <cellStyle name="Normal 49 4" xfId="82" xr:uid="{00000000-0005-0000-0000-000052000000}"/>
    <cellStyle name="Normal 5" xfId="83" xr:uid="{00000000-0005-0000-0000-000053000000}"/>
    <cellStyle name="Normal 5 2" xfId="84" xr:uid="{00000000-0005-0000-0000-000054000000}"/>
    <cellStyle name="Normal 50" xfId="85" xr:uid="{00000000-0005-0000-0000-000055000000}"/>
    <cellStyle name="Normal 51" xfId="86" xr:uid="{00000000-0005-0000-0000-000056000000}"/>
    <cellStyle name="Normal 52" xfId="87" xr:uid="{00000000-0005-0000-0000-000057000000}"/>
    <cellStyle name="Normal 53" xfId="88" xr:uid="{00000000-0005-0000-0000-000058000000}"/>
    <cellStyle name="Normal 54" xfId="89" xr:uid="{00000000-0005-0000-0000-000059000000}"/>
    <cellStyle name="Normal 55" xfId="90" xr:uid="{00000000-0005-0000-0000-00005A000000}"/>
    <cellStyle name="Normal 56" xfId="91" xr:uid="{00000000-0005-0000-0000-00005B000000}"/>
    <cellStyle name="Normal 57" xfId="92" xr:uid="{00000000-0005-0000-0000-00005C000000}"/>
    <cellStyle name="Normal 58" xfId="93" xr:uid="{00000000-0005-0000-0000-00005D000000}"/>
    <cellStyle name="Normal 59" xfId="94" xr:uid="{00000000-0005-0000-0000-00005E000000}"/>
    <cellStyle name="Normal 6" xfId="95" xr:uid="{00000000-0005-0000-0000-00005F000000}"/>
    <cellStyle name="Normal 6 2" xfId="96" xr:uid="{00000000-0005-0000-0000-000060000000}"/>
    <cellStyle name="Normal 60" xfId="97" xr:uid="{00000000-0005-0000-0000-000061000000}"/>
    <cellStyle name="Normal 61" xfId="98" xr:uid="{00000000-0005-0000-0000-000062000000}"/>
    <cellStyle name="Normal 62" xfId="99" xr:uid="{00000000-0005-0000-0000-000063000000}"/>
    <cellStyle name="Normal 63" xfId="100" xr:uid="{00000000-0005-0000-0000-000064000000}"/>
    <cellStyle name="Normal 64" xfId="101" xr:uid="{00000000-0005-0000-0000-000065000000}"/>
    <cellStyle name="Normal 65" xfId="102" xr:uid="{00000000-0005-0000-0000-000066000000}"/>
    <cellStyle name="Normal 66" xfId="103" xr:uid="{00000000-0005-0000-0000-000067000000}"/>
    <cellStyle name="Normal 67" xfId="104" xr:uid="{00000000-0005-0000-0000-000068000000}"/>
    <cellStyle name="Normal 68" xfId="105" xr:uid="{00000000-0005-0000-0000-000069000000}"/>
    <cellStyle name="Normal 69" xfId="106" xr:uid="{00000000-0005-0000-0000-00006A000000}"/>
    <cellStyle name="Normal 7" xfId="107" xr:uid="{00000000-0005-0000-0000-00006B000000}"/>
    <cellStyle name="Normal 70" xfId="108" xr:uid="{00000000-0005-0000-0000-00006C000000}"/>
    <cellStyle name="Normal 71" xfId="109" xr:uid="{00000000-0005-0000-0000-00006D000000}"/>
    <cellStyle name="Normal 72" xfId="110" xr:uid="{00000000-0005-0000-0000-00006E000000}"/>
    <cellStyle name="Normal 73" xfId="111" xr:uid="{00000000-0005-0000-0000-00006F000000}"/>
    <cellStyle name="Normal 74" xfId="112" xr:uid="{00000000-0005-0000-0000-000070000000}"/>
    <cellStyle name="Normal 75" xfId="113" xr:uid="{00000000-0005-0000-0000-000071000000}"/>
    <cellStyle name="Normal 76" xfId="114" xr:uid="{00000000-0005-0000-0000-000072000000}"/>
    <cellStyle name="Normal 77" xfId="115" xr:uid="{00000000-0005-0000-0000-000073000000}"/>
    <cellStyle name="Normal 8" xfId="116" xr:uid="{00000000-0005-0000-0000-000074000000}"/>
    <cellStyle name="Normal 9" xfId="117" xr:uid="{00000000-0005-0000-0000-000075000000}"/>
    <cellStyle name="Page title" xfId="118" xr:uid="{00000000-0005-0000-0000-000076000000}"/>
    <cellStyle name="per.style" xfId="119" xr:uid="{00000000-0005-0000-0000-000077000000}"/>
    <cellStyle name="Percent [2]" xfId="120" xr:uid="{00000000-0005-0000-0000-000078000000}"/>
    <cellStyle name="Percent 2" xfId="121" xr:uid="{00000000-0005-0000-0000-000079000000}"/>
    <cellStyle name="Percent 3" xfId="122" xr:uid="{00000000-0005-0000-0000-00007A000000}"/>
    <cellStyle name="Percent 3 2" xfId="123" xr:uid="{00000000-0005-0000-0000-00007B000000}"/>
    <cellStyle name="Percent 4" xfId="124" xr:uid="{00000000-0005-0000-0000-00007C000000}"/>
    <cellStyle name="Percent 5" xfId="125" xr:uid="{00000000-0005-0000-0000-00007D000000}"/>
    <cellStyle name="Percent 5 2" xfId="126" xr:uid="{00000000-0005-0000-0000-00007E000000}"/>
    <cellStyle name="Percent 6" xfId="127" xr:uid="{00000000-0005-0000-0000-00007F000000}"/>
    <cellStyle name="regstoresfromspecstores" xfId="128" xr:uid="{00000000-0005-0000-0000-000080000000}"/>
    <cellStyle name="RevList" xfId="129" xr:uid="{00000000-0005-0000-0000-000081000000}"/>
    <cellStyle name="specstores" xfId="130" xr:uid="{00000000-0005-0000-0000-000082000000}"/>
    <cellStyle name="Subtotal" xfId="131" xr:uid="{00000000-0005-0000-0000-000083000000}"/>
    <cellStyle name="Table_Header" xfId="132" xr:uid="{00000000-0005-0000-0000-000084000000}"/>
    <cellStyle name="Underline_Double" xfId="133" xr:uid="{00000000-0005-0000-0000-000085000000}"/>
    <cellStyle name="WingDing" xfId="134" xr:uid="{00000000-0005-0000-0000-000086000000}"/>
    <cellStyle name="常规_2012年3月_1" xfId="135" xr:uid="{00000000-0005-0000-0000-000087000000}"/>
  </cellStyles>
  <dxfs count="3">
    <dxf>
      <fill>
        <patternFill patternType="gray0625">
          <bgColor theme="0" tint="-4.9989318521683403E-2"/>
        </patternFill>
      </fill>
    </dxf>
    <dxf>
      <fill>
        <patternFill patternType="gray0625">
          <bgColor theme="0" tint="-4.9989318521683403E-2"/>
        </patternFill>
      </fill>
    </dxf>
    <dxf>
      <fill>
        <patternFill patternType="gray0625">
          <bgColor theme="0" tint="-4.9989318521683403E-2"/>
        </patternFill>
      </fill>
    </dxf>
  </dxfs>
  <tableStyles count="0" defaultTableStyle="TableStyleMedium2" defaultPivotStyle="PivotStyleLight16"/>
  <colors>
    <mruColors>
      <color rgb="FF00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Projects/Hand%20&amp;%20Cloth/Financial%20Model/Hand&amp;Cloth.Model.v20%20(tables%20condensed%20for%20presentation%20appendix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Documents%20and%20Settings/shkapp/Desktop/Template2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Projects/Hand%20&amp;%20Cloth/Financial%20Model/Hand&amp;Cloth.Model.v3%20(exc%20private%20label)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vincecavin/Dropbox/Dig%20Foods/Financials/Payroll/2013/6-28/Panzanzee.FinancialModel.v12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Lev/Documents/Booth/Courses/34106%20-%20Commercializing%20Innovation/Dropbox%20-%20Commercializing%20Innovation/Week%206%20-%20PPA/Model/CI_02_Group%2001_PPA%20Unit%20Mode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ral Assumptions"/>
      <sheetName val="Products"/>
      <sheetName val="(BD) Workers"/>
      <sheetName val="(BD) Staff"/>
      <sheetName val="(BD) OpEx"/>
      <sheetName val="(BD) CapEx"/>
      <sheetName val="(BD) Inventory"/>
      <sheetName val="(BD) SG&amp;A"/>
      <sheetName val="Productivity"/>
      <sheetName val="(BD) Unit Model"/>
      <sheetName val="(BD) Rollout"/>
      <sheetName val="(BD) Rollup"/>
      <sheetName val="(US) Shipping"/>
      <sheetName val="(US) S&amp;M Karima"/>
      <sheetName val="(US) S&amp;M"/>
      <sheetName val="(US) G&amp;A"/>
      <sheetName val="(US) Model"/>
      <sheetName val="(US) Rollout"/>
      <sheetName val="(US-BD) Rollup"/>
      <sheetName val="Growth Strategy"/>
      <sheetName val="Marketing Strategy"/>
      <sheetName val="Key Unit Model Assumptions"/>
      <sheetName val="Co-Op Growth"/>
      <sheetName val="Revenue Model Graphs"/>
      <sheetName val="Cost Model Graphs"/>
      <sheetName val="Funding"/>
      <sheetName val="Funding (2)"/>
      <sheetName val="Funding (3)"/>
      <sheetName val="Profit Distribution"/>
      <sheetName val="Analogs"/>
      <sheetName val="B.Outreach"/>
    </sheetNames>
    <sheetDataSet>
      <sheetData sheetId="0">
        <row r="5">
          <cell r="B5">
            <v>70</v>
          </cell>
        </row>
        <row r="7">
          <cell r="B7">
            <v>52</v>
          </cell>
        </row>
        <row r="8">
          <cell r="B8">
            <v>0.4</v>
          </cell>
        </row>
      </sheetData>
      <sheetData sheetId="1" refreshError="1"/>
      <sheetData sheetId="2">
        <row r="4">
          <cell r="B4">
            <v>110</v>
          </cell>
        </row>
        <row r="19">
          <cell r="B19">
            <v>25</v>
          </cell>
        </row>
      </sheetData>
      <sheetData sheetId="3">
        <row r="5">
          <cell r="D5">
            <v>9000</v>
          </cell>
        </row>
        <row r="6">
          <cell r="D6">
            <v>4000</v>
          </cell>
        </row>
        <row r="7">
          <cell r="D7">
            <v>2500</v>
          </cell>
        </row>
        <row r="8">
          <cell r="D8">
            <v>4000</v>
          </cell>
        </row>
        <row r="10">
          <cell r="D10">
            <v>0.6</v>
          </cell>
        </row>
        <row r="11">
          <cell r="D11">
            <v>0.25</v>
          </cell>
        </row>
        <row r="12">
          <cell r="D12">
            <v>1000</v>
          </cell>
        </row>
        <row r="13">
          <cell r="D13">
            <v>6500</v>
          </cell>
        </row>
        <row r="14">
          <cell r="D14">
            <v>2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58">
          <cell r="B58">
            <v>1200</v>
          </cell>
        </row>
        <row r="60">
          <cell r="B60">
            <v>6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rget"/>
      <sheetName val="Valuation"/>
      <sheetName val="Charts"/>
      <sheetName val="Acquiror"/>
      <sheetName val="Assumptions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8">
          <cell r="C8" t="str">
            <v>Confidential</v>
          </cell>
        </row>
      </sheetData>
      <sheetData sheetId="5" refreshError="1"/>
      <sheetData sheetId="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ral Assumptions"/>
      <sheetName val="Staff"/>
      <sheetName val="Wage Workers"/>
      <sheetName val="Fixed Operating Expenses"/>
      <sheetName val="Initial Equipment"/>
      <sheetName val="Initial Inventory"/>
      <sheetName val="Productivity"/>
      <sheetName val="Shipping"/>
      <sheetName val="Marketing&amp;Sales"/>
      <sheetName val="Marketing&amp;Sales_Karima"/>
      <sheetName val="US Management"/>
      <sheetName val="US HQ"/>
      <sheetName val="Assump Operation"/>
    </sheetNames>
    <sheetDataSet>
      <sheetData sheetId="0">
        <row r="6">
          <cell r="B6">
            <v>12</v>
          </cell>
        </row>
      </sheetData>
      <sheetData sheetId="1">
        <row r="9">
          <cell r="C9">
            <v>3500</v>
          </cell>
        </row>
      </sheetData>
      <sheetData sheetId="2">
        <row r="7">
          <cell r="B7">
            <v>46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tions"/>
      <sheetName val="Analog Matrix"/>
      <sheetName val="Other Analog Data"/>
      <sheetName val="Unit Model (Old, Combined)"/>
      <sheetName val="Perceptual Map"/>
      <sheetName val="Perceptual Map (Chart)"/>
      <sheetName val="Unit Model (Small Incubator)"/>
      <sheetName val="Unit Model (Large Incubator)"/>
      <sheetName val="Unit Model (Consolidated)"/>
      <sheetName val="Income Statement"/>
      <sheetName val="Revenue Model Graphs"/>
      <sheetName val="Cost Model Graphs"/>
      <sheetName val="Funding"/>
    </sheetNames>
    <sheetDataSet>
      <sheetData sheetId="0">
        <row r="3">
          <cell r="CB3">
            <v>12</v>
          </cell>
        </row>
      </sheetData>
      <sheetData sheetId="1"/>
      <sheetData sheetId="2">
        <row r="3">
          <cell r="CB3">
            <v>12</v>
          </cell>
        </row>
      </sheetData>
      <sheetData sheetId="3"/>
      <sheetData sheetId="4"/>
      <sheetData sheetId="5" refreshError="1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 Panel"/>
      <sheetName val="Analog A"/>
      <sheetName val="Analog B"/>
      <sheetName val="Quanti Matrix"/>
      <sheetName val="Assump._UNIT Investment"/>
      <sheetName val="Salary Assumptions"/>
      <sheetName val="Assump._UNIT Operation"/>
      <sheetName val="Unit Model"/>
      <sheetName val="Unit Model2"/>
      <sheetName val="Assumptions_Corp.Marketing"/>
      <sheetName val="Unit Model_Fran"/>
      <sheetName val="Assumption_Corp.G&amp;A"/>
      <sheetName val="Rollout"/>
      <sheetName val="Rollup"/>
      <sheetName val="Assumption_Propening Expense"/>
    </sheetNames>
    <sheetDataSet>
      <sheetData sheetId="0">
        <row r="7">
          <cell r="D7" t="str">
            <v>PPA</v>
          </cell>
        </row>
      </sheetData>
      <sheetData sheetId="1"/>
      <sheetData sheetId="2"/>
      <sheetData sheetId="3"/>
      <sheetData sheetId="4"/>
      <sheetData sheetId="5"/>
      <sheetData sheetId="6"/>
      <sheetData sheetId="7">
        <row r="11">
          <cell r="D11">
            <v>0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57C8E-5B98-4E97-86A4-088470E2CEB7}">
  <dimension ref="B1:C18"/>
  <sheetViews>
    <sheetView showGridLines="0" workbookViewId="0"/>
  </sheetViews>
  <sheetFormatPr baseColWidth="10" defaultColWidth="8.83203125" defaultRowHeight="15"/>
  <cols>
    <col min="1" max="1" width="0.1640625" customWidth="1"/>
    <col min="2" max="2" width="2.5" customWidth="1"/>
  </cols>
  <sheetData>
    <row r="1" spans="2:3">
      <c r="B1" s="46" t="s">
        <v>42</v>
      </c>
    </row>
    <row r="2" spans="2:3">
      <c r="C2" s="46"/>
    </row>
    <row r="3" spans="2:3">
      <c r="B3" s="47" t="s">
        <v>43</v>
      </c>
    </row>
    <row r="4" spans="2:3">
      <c r="B4" s="48">
        <v>1</v>
      </c>
      <c r="C4" t="s">
        <v>47</v>
      </c>
    </row>
    <row r="5" spans="2:3">
      <c r="B5" s="48">
        <v>2</v>
      </c>
      <c r="C5" t="s">
        <v>48</v>
      </c>
    </row>
    <row r="6" spans="2:3">
      <c r="B6" s="48">
        <v>3</v>
      </c>
      <c r="C6" t="s">
        <v>49</v>
      </c>
    </row>
    <row r="7" spans="2:3" ht="17">
      <c r="B7" s="48">
        <v>4</v>
      </c>
      <c r="C7" t="s">
        <v>60</v>
      </c>
    </row>
    <row r="8" spans="2:3">
      <c r="B8" s="48">
        <v>5</v>
      </c>
      <c r="C8" t="s">
        <v>50</v>
      </c>
    </row>
    <row r="9" spans="2:3">
      <c r="B9" s="48">
        <v>6</v>
      </c>
      <c r="C9" t="s">
        <v>51</v>
      </c>
    </row>
    <row r="10" spans="2:3">
      <c r="B10" s="48">
        <v>7</v>
      </c>
      <c r="C10" t="s">
        <v>52</v>
      </c>
    </row>
    <row r="11" spans="2:3">
      <c r="B11" s="48">
        <v>8</v>
      </c>
      <c r="C11" t="s">
        <v>53</v>
      </c>
    </row>
    <row r="12" spans="2:3">
      <c r="B12" s="48"/>
    </row>
    <row r="13" spans="2:3">
      <c r="B13" s="47" t="s">
        <v>44</v>
      </c>
    </row>
    <row r="14" spans="2:3">
      <c r="B14" s="48">
        <v>1</v>
      </c>
      <c r="C14" t="s">
        <v>54</v>
      </c>
    </row>
    <row r="15" spans="2:3">
      <c r="B15" s="48">
        <v>2</v>
      </c>
      <c r="C15" t="s">
        <v>55</v>
      </c>
    </row>
    <row r="16" spans="2:3">
      <c r="B16" s="48"/>
    </row>
    <row r="17" spans="2:3">
      <c r="B17" s="47" t="s">
        <v>46</v>
      </c>
    </row>
    <row r="18" spans="2:3">
      <c r="B18" s="48">
        <v>1</v>
      </c>
      <c r="C18" t="s">
        <v>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E908B-AC73-448E-AAA0-FDF325948CCF}">
  <dimension ref="B1:AA103"/>
  <sheetViews>
    <sheetView showGridLines="0" zoomScaleNormal="100" workbookViewId="0">
      <pane ySplit="15" topLeftCell="A16" activePane="bottomLeft" state="frozen"/>
      <selection pane="bottomLeft"/>
    </sheetView>
  </sheetViews>
  <sheetFormatPr baseColWidth="10" defaultColWidth="8.83203125" defaultRowHeight="13"/>
  <cols>
    <col min="1" max="1" width="0.83203125" style="1" customWidth="1"/>
    <col min="2" max="2" width="13.1640625" style="1" bestFit="1" customWidth="1"/>
    <col min="3" max="9" width="8.83203125" style="1" customWidth="1"/>
    <col min="10" max="10" width="6.1640625" style="1" bestFit="1" customWidth="1"/>
    <col min="11" max="11" width="13.1640625" style="1" bestFit="1" customWidth="1"/>
    <col min="12" max="18" width="8.83203125" style="1" customWidth="1"/>
    <col min="19" max="19" width="5.6640625" style="1" customWidth="1"/>
    <col min="20" max="20" width="13.1640625" style="1" bestFit="1" customWidth="1"/>
    <col min="21" max="25" width="8.83203125" style="1" customWidth="1"/>
    <col min="26" max="26" width="9" style="1" customWidth="1"/>
    <col min="27" max="16384" width="8.83203125" style="1"/>
  </cols>
  <sheetData>
    <row r="1" spans="2:27" ht="3" customHeight="1"/>
    <row r="3" spans="2:27" ht="9.75" customHeight="1"/>
    <row r="4" spans="2:27" ht="28" customHeight="1">
      <c r="B4" s="2"/>
      <c r="C4" s="2"/>
      <c r="D4" s="77" t="s">
        <v>57</v>
      </c>
      <c r="E4" s="78"/>
      <c r="F4" s="78" t="s">
        <v>58</v>
      </c>
      <c r="G4" s="78"/>
      <c r="H4" s="78" t="s">
        <v>59</v>
      </c>
      <c r="I4" s="86"/>
      <c r="K4" s="79" t="s">
        <v>3</v>
      </c>
      <c r="L4" s="80"/>
      <c r="M4" s="81"/>
      <c r="N4" s="2"/>
      <c r="T4" s="2"/>
      <c r="U4" s="2"/>
    </row>
    <row r="5" spans="2:27" ht="14" customHeight="1">
      <c r="B5" s="82" t="s">
        <v>12</v>
      </c>
      <c r="C5" s="83"/>
      <c r="D5" s="84">
        <v>8.9999999999999993E-3</v>
      </c>
      <c r="E5" s="85"/>
      <c r="F5" s="87">
        <v>0.01</v>
      </c>
      <c r="G5" s="87"/>
      <c r="H5" s="87">
        <v>0.02</v>
      </c>
      <c r="I5" s="87"/>
      <c r="N5" s="2"/>
      <c r="T5" s="2"/>
      <c r="U5" s="2"/>
    </row>
    <row r="6" spans="2:27" ht="14" customHeight="1">
      <c r="B6" s="74" t="s">
        <v>0</v>
      </c>
      <c r="C6" s="75"/>
      <c r="D6" s="70">
        <v>0.1</v>
      </c>
      <c r="E6" s="71"/>
      <c r="F6" s="70">
        <v>0.3</v>
      </c>
      <c r="G6" s="71"/>
      <c r="H6" s="70">
        <v>0.8</v>
      </c>
      <c r="I6" s="71"/>
      <c r="N6" s="2"/>
      <c r="T6" s="2"/>
      <c r="U6" s="2"/>
    </row>
    <row r="7" spans="2:27" ht="14" customHeight="1">
      <c r="B7" s="74" t="s">
        <v>1</v>
      </c>
      <c r="C7" s="75"/>
      <c r="D7" s="88">
        <f>D8-D6</f>
        <v>0.85</v>
      </c>
      <c r="E7" s="89"/>
      <c r="F7" s="88">
        <v>0.75</v>
      </c>
      <c r="G7" s="89"/>
      <c r="H7" s="88">
        <v>0.30000000000000004</v>
      </c>
      <c r="I7" s="89"/>
      <c r="K7" s="66" t="s">
        <v>8</v>
      </c>
      <c r="L7" s="76"/>
      <c r="M7" s="22">
        <v>15</v>
      </c>
      <c r="N7" s="2"/>
      <c r="T7" s="2"/>
      <c r="U7" s="2"/>
    </row>
    <row r="8" spans="2:27" ht="14" customHeight="1">
      <c r="B8" s="74" t="s">
        <v>2</v>
      </c>
      <c r="C8" s="75"/>
      <c r="D8" s="70">
        <v>0.95</v>
      </c>
      <c r="E8" s="71"/>
      <c r="F8" s="70">
        <v>1.05</v>
      </c>
      <c r="G8" s="71"/>
      <c r="H8" s="70">
        <v>1.1000000000000001</v>
      </c>
      <c r="I8" s="71"/>
      <c r="N8" s="2"/>
      <c r="T8" s="2"/>
      <c r="U8" s="2"/>
    </row>
    <row r="9" spans="2:27" ht="6" customHeight="1">
      <c r="B9" s="23"/>
      <c r="C9" s="24"/>
      <c r="D9" s="68"/>
      <c r="E9" s="69"/>
      <c r="F9" s="68"/>
      <c r="G9" s="69"/>
      <c r="H9" s="68"/>
      <c r="I9" s="69"/>
      <c r="K9" s="2"/>
      <c r="L9" s="2"/>
      <c r="M9" s="2"/>
      <c r="N9" s="2"/>
      <c r="T9" s="2"/>
      <c r="U9" s="2"/>
    </row>
    <row r="10" spans="2:27" ht="14" thickBot="1">
      <c r="B10" s="74" t="s">
        <v>5</v>
      </c>
      <c r="C10" s="75"/>
      <c r="D10" s="70">
        <v>0.05</v>
      </c>
      <c r="E10" s="71"/>
      <c r="F10" s="70">
        <v>0.5</v>
      </c>
      <c r="G10" s="71"/>
      <c r="H10" s="70">
        <v>1</v>
      </c>
      <c r="I10" s="71"/>
      <c r="K10" s="66" t="s">
        <v>9</v>
      </c>
      <c r="L10" s="76"/>
      <c r="M10" s="22">
        <v>364</v>
      </c>
      <c r="N10" s="2"/>
      <c r="T10" s="2"/>
      <c r="U10" s="2"/>
    </row>
    <row r="11" spans="2:27" ht="15" customHeight="1" thickBot="1">
      <c r="B11" s="74" t="s">
        <v>6</v>
      </c>
      <c r="C11" s="75"/>
      <c r="D11" s="72">
        <v>100</v>
      </c>
      <c r="E11" s="73"/>
      <c r="F11" s="72">
        <v>100</v>
      </c>
      <c r="G11" s="73"/>
      <c r="H11" s="72">
        <v>100</v>
      </c>
      <c r="I11" s="73"/>
      <c r="N11" s="2"/>
      <c r="T11" s="2"/>
      <c r="U11" s="2"/>
    </row>
    <row r="12" spans="2:27" ht="6" customHeight="1" thickBot="1">
      <c r="B12" s="23"/>
      <c r="C12" s="24"/>
      <c r="D12" s="68"/>
      <c r="E12" s="69"/>
      <c r="F12" s="68"/>
      <c r="G12" s="69"/>
      <c r="H12" s="68"/>
      <c r="I12" s="69"/>
      <c r="K12" s="2"/>
      <c r="L12" s="2"/>
      <c r="M12" s="2"/>
      <c r="N12" s="2"/>
      <c r="T12" s="2"/>
      <c r="U12" s="2"/>
    </row>
    <row r="13" spans="2:27" ht="14" thickBot="1">
      <c r="B13" s="62" t="s">
        <v>7</v>
      </c>
      <c r="C13" s="63"/>
      <c r="D13" s="64">
        <v>1</v>
      </c>
      <c r="E13" s="65"/>
      <c r="F13" s="64">
        <v>500000</v>
      </c>
      <c r="G13" s="65"/>
      <c r="H13" s="64">
        <v>3000000</v>
      </c>
      <c r="I13" s="65"/>
      <c r="K13" s="66" t="s">
        <v>10</v>
      </c>
      <c r="L13" s="67"/>
      <c r="M13" s="55">
        <v>100</v>
      </c>
      <c r="N13" s="2"/>
      <c r="T13" s="2"/>
      <c r="U13" s="2"/>
    </row>
    <row r="14" spans="2:27" ht="9.75" customHeight="1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2:27">
      <c r="B15" s="2"/>
      <c r="C15" s="59" t="s">
        <v>17</v>
      </c>
      <c r="D15" s="60"/>
      <c r="E15" s="60"/>
      <c r="F15" s="60"/>
      <c r="G15" s="60"/>
      <c r="H15" s="60"/>
      <c r="I15" s="61"/>
      <c r="J15" s="2"/>
      <c r="K15" s="2"/>
      <c r="L15" s="59" t="s">
        <v>40</v>
      </c>
      <c r="M15" s="60"/>
      <c r="N15" s="60"/>
      <c r="O15" s="60"/>
      <c r="P15" s="60"/>
      <c r="Q15" s="60"/>
      <c r="R15" s="61"/>
      <c r="S15" s="2"/>
      <c r="T15" s="2"/>
      <c r="U15" s="59" t="s">
        <v>41</v>
      </c>
      <c r="V15" s="60"/>
      <c r="W15" s="60"/>
      <c r="X15" s="60"/>
      <c r="Y15" s="60"/>
      <c r="Z15" s="60"/>
      <c r="AA15" s="61"/>
    </row>
    <row r="16" spans="2:27" ht="3.5" customHeight="1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7" ht="14" thickBot="1">
      <c r="B17" s="2"/>
      <c r="C17" s="56" t="s">
        <v>11</v>
      </c>
      <c r="D17" s="57"/>
      <c r="E17" s="57"/>
      <c r="F17" s="57"/>
      <c r="G17" s="57"/>
      <c r="H17" s="57"/>
      <c r="I17" s="58"/>
      <c r="K17" s="2"/>
      <c r="L17" s="56" t="s">
        <v>11</v>
      </c>
      <c r="M17" s="57"/>
      <c r="N17" s="57"/>
      <c r="O17" s="57"/>
      <c r="P17" s="57"/>
      <c r="Q17" s="57"/>
      <c r="R17" s="58"/>
      <c r="T17" s="2"/>
      <c r="U17" s="56" t="s">
        <v>11</v>
      </c>
      <c r="V17" s="57"/>
      <c r="W17" s="57"/>
      <c r="X17" s="57"/>
      <c r="Y17" s="57"/>
      <c r="Z17" s="57"/>
      <c r="AA17" s="58"/>
    </row>
    <row r="18" spans="2:27" ht="16" thickBot="1">
      <c r="B18" s="18" t="s">
        <v>62</v>
      </c>
      <c r="C18" s="49">
        <v>500</v>
      </c>
      <c r="D18" s="50">
        <v>1000</v>
      </c>
      <c r="E18" s="50">
        <v>2500</v>
      </c>
      <c r="F18" s="50">
        <v>3000</v>
      </c>
      <c r="G18" s="50">
        <v>4000</v>
      </c>
      <c r="H18" s="50">
        <v>8000</v>
      </c>
      <c r="I18" s="51">
        <v>16000</v>
      </c>
      <c r="K18" s="18" t="s">
        <v>62</v>
      </c>
      <c r="L18" s="28">
        <f>$C$18</f>
        <v>500</v>
      </c>
      <c r="M18" s="29">
        <f>$D$18</f>
        <v>1000</v>
      </c>
      <c r="N18" s="29">
        <f>$E$18</f>
        <v>2500</v>
      </c>
      <c r="O18" s="29">
        <f>$F$18</f>
        <v>3000</v>
      </c>
      <c r="P18" s="29">
        <f>$G$18</f>
        <v>4000</v>
      </c>
      <c r="Q18" s="29">
        <f>$H$18</f>
        <v>8000</v>
      </c>
      <c r="R18" s="30">
        <f>$I$18</f>
        <v>16000</v>
      </c>
      <c r="T18" s="18" t="s">
        <v>62</v>
      </c>
      <c r="U18" s="28">
        <f>$C$18</f>
        <v>500</v>
      </c>
      <c r="V18" s="29">
        <f>$D$18</f>
        <v>1000</v>
      </c>
      <c r="W18" s="29">
        <f>$E$18</f>
        <v>2500</v>
      </c>
      <c r="X18" s="29">
        <f>$F$18</f>
        <v>3000</v>
      </c>
      <c r="Y18" s="29">
        <f>$G$18</f>
        <v>4000</v>
      </c>
      <c r="Z18" s="29">
        <f>$H$18</f>
        <v>8000</v>
      </c>
      <c r="AA18" s="30">
        <f>$I$18</f>
        <v>16000</v>
      </c>
    </row>
    <row r="19" spans="2:27">
      <c r="B19" s="52">
        <v>100000</v>
      </c>
      <c r="C19" s="19"/>
      <c r="D19" s="3"/>
      <c r="E19" s="3"/>
      <c r="F19" s="3"/>
      <c r="G19" s="3"/>
      <c r="H19" s="3"/>
      <c r="I19" s="4"/>
      <c r="K19" s="31">
        <f>$B$19</f>
        <v>100000</v>
      </c>
      <c r="L19" s="19"/>
      <c r="M19" s="3"/>
      <c r="N19" s="3"/>
      <c r="O19" s="3"/>
      <c r="P19" s="3"/>
      <c r="Q19" s="3"/>
      <c r="R19" s="4"/>
      <c r="T19" s="31">
        <f>$B$19</f>
        <v>100000</v>
      </c>
      <c r="U19" s="19"/>
      <c r="V19" s="3"/>
      <c r="W19" s="3"/>
      <c r="X19" s="3"/>
      <c r="Y19" s="3"/>
      <c r="Z19" s="3"/>
      <c r="AA19" s="4"/>
    </row>
    <row r="20" spans="2:27">
      <c r="B20" s="53">
        <v>200000</v>
      </c>
      <c r="C20" s="20"/>
      <c r="D20" s="5"/>
      <c r="E20" s="5"/>
      <c r="F20" s="5"/>
      <c r="G20" s="5"/>
      <c r="H20" s="5"/>
      <c r="I20" s="6"/>
      <c r="K20" s="32">
        <f>$B$20</f>
        <v>200000</v>
      </c>
      <c r="L20" s="20"/>
      <c r="M20" s="5"/>
      <c r="N20" s="5"/>
      <c r="O20" s="5"/>
      <c r="P20" s="5"/>
      <c r="Q20" s="5"/>
      <c r="R20" s="6"/>
      <c r="T20" s="32">
        <f>$B$20</f>
        <v>200000</v>
      </c>
      <c r="U20" s="20"/>
      <c r="V20" s="5"/>
      <c r="W20" s="5"/>
      <c r="X20" s="5"/>
      <c r="Y20" s="5"/>
      <c r="Z20" s="5"/>
      <c r="AA20" s="6"/>
    </row>
    <row r="21" spans="2:27">
      <c r="B21" s="53">
        <v>300000</v>
      </c>
      <c r="C21" s="20"/>
      <c r="D21" s="5"/>
      <c r="E21" s="5"/>
      <c r="F21" s="5"/>
      <c r="G21" s="5"/>
      <c r="H21" s="5"/>
      <c r="I21" s="6"/>
      <c r="K21" s="32">
        <f>$B$21</f>
        <v>300000</v>
      </c>
      <c r="L21" s="20"/>
      <c r="M21" s="5"/>
      <c r="N21" s="5"/>
      <c r="O21" s="5"/>
      <c r="P21" s="5"/>
      <c r="Q21" s="5"/>
      <c r="R21" s="6"/>
      <c r="T21" s="32">
        <f>$B$21</f>
        <v>300000</v>
      </c>
      <c r="U21" s="20"/>
      <c r="V21" s="5"/>
      <c r="W21" s="5"/>
      <c r="X21" s="5"/>
      <c r="Y21" s="5"/>
      <c r="Z21" s="5"/>
      <c r="AA21" s="6"/>
    </row>
    <row r="22" spans="2:27">
      <c r="B22" s="53">
        <v>400000</v>
      </c>
      <c r="C22" s="20"/>
      <c r="D22" s="5"/>
      <c r="E22" s="5"/>
      <c r="F22" s="5"/>
      <c r="G22" s="5"/>
      <c r="H22" s="5"/>
      <c r="I22" s="6"/>
      <c r="K22" s="32">
        <f>$B$22</f>
        <v>400000</v>
      </c>
      <c r="L22" s="20"/>
      <c r="M22" s="5"/>
      <c r="N22" s="5"/>
      <c r="O22" s="5"/>
      <c r="P22" s="5"/>
      <c r="Q22" s="5"/>
      <c r="R22" s="6"/>
      <c r="T22" s="32">
        <f>$B$22</f>
        <v>400000</v>
      </c>
      <c r="U22" s="20"/>
      <c r="V22" s="5"/>
      <c r="W22" s="5"/>
      <c r="X22" s="5"/>
      <c r="Y22" s="5"/>
      <c r="Z22" s="5"/>
      <c r="AA22" s="6"/>
    </row>
    <row r="23" spans="2:27">
      <c r="B23" s="53">
        <v>500000</v>
      </c>
      <c r="C23" s="20"/>
      <c r="D23" s="5"/>
      <c r="E23" s="5"/>
      <c r="F23" s="5"/>
      <c r="G23" s="5"/>
      <c r="H23" s="5"/>
      <c r="I23" s="6"/>
      <c r="K23" s="32">
        <f>$B$23</f>
        <v>500000</v>
      </c>
      <c r="L23" s="20"/>
      <c r="M23" s="5"/>
      <c r="N23" s="5"/>
      <c r="O23" s="5"/>
      <c r="P23" s="5"/>
      <c r="Q23" s="5"/>
      <c r="R23" s="6"/>
      <c r="T23" s="32">
        <f>$B$23</f>
        <v>500000</v>
      </c>
      <c r="U23" s="20"/>
      <c r="V23" s="5"/>
      <c r="W23" s="5"/>
      <c r="X23" s="5"/>
      <c r="Y23" s="5"/>
      <c r="Z23" s="5"/>
      <c r="AA23" s="6"/>
    </row>
    <row r="24" spans="2:27">
      <c r="B24" s="53">
        <v>600000</v>
      </c>
      <c r="C24" s="20"/>
      <c r="D24" s="5"/>
      <c r="E24" s="5"/>
      <c r="F24" s="5"/>
      <c r="G24" s="5"/>
      <c r="H24" s="5"/>
      <c r="I24" s="6"/>
      <c r="K24" s="32">
        <f>$B$24</f>
        <v>600000</v>
      </c>
      <c r="L24" s="20"/>
      <c r="M24" s="5"/>
      <c r="N24" s="5"/>
      <c r="O24" s="5"/>
      <c r="P24" s="5"/>
      <c r="Q24" s="5"/>
      <c r="R24" s="6"/>
      <c r="T24" s="32">
        <f>$B$24</f>
        <v>600000</v>
      </c>
      <c r="U24" s="20"/>
      <c r="V24" s="5"/>
      <c r="W24" s="5"/>
      <c r="X24" s="5"/>
      <c r="Y24" s="5"/>
      <c r="Z24" s="5"/>
      <c r="AA24" s="6"/>
    </row>
    <row r="25" spans="2:27">
      <c r="B25" s="53">
        <v>700000</v>
      </c>
      <c r="C25" s="20"/>
      <c r="D25" s="5"/>
      <c r="E25" s="5"/>
      <c r="F25" s="5"/>
      <c r="G25" s="5"/>
      <c r="H25" s="5"/>
      <c r="I25" s="6"/>
      <c r="K25" s="32">
        <f>$B$25</f>
        <v>700000</v>
      </c>
      <c r="L25" s="20"/>
      <c r="M25" s="5"/>
      <c r="N25" s="5"/>
      <c r="O25" s="5"/>
      <c r="P25" s="5"/>
      <c r="Q25" s="5"/>
      <c r="R25" s="6"/>
      <c r="T25" s="32">
        <f>$B$25</f>
        <v>700000</v>
      </c>
      <c r="U25" s="20"/>
      <c r="V25" s="5"/>
      <c r="W25" s="5"/>
      <c r="X25" s="5"/>
      <c r="Y25" s="5"/>
      <c r="Z25" s="5"/>
      <c r="AA25" s="6"/>
    </row>
    <row r="26" spans="2:27">
      <c r="B26" s="53">
        <v>800000</v>
      </c>
      <c r="C26" s="20"/>
      <c r="D26" s="5"/>
      <c r="E26" s="5"/>
      <c r="F26" s="5"/>
      <c r="G26" s="5"/>
      <c r="H26" s="5"/>
      <c r="I26" s="6"/>
      <c r="K26" s="32">
        <f>$B$26</f>
        <v>800000</v>
      </c>
      <c r="L26" s="20"/>
      <c r="M26" s="5"/>
      <c r="N26" s="5"/>
      <c r="O26" s="5"/>
      <c r="P26" s="5"/>
      <c r="Q26" s="5"/>
      <c r="R26" s="6"/>
      <c r="T26" s="32">
        <f>$B$26</f>
        <v>800000</v>
      </c>
      <c r="U26" s="20"/>
      <c r="V26" s="5"/>
      <c r="W26" s="5"/>
      <c r="X26" s="5"/>
      <c r="Y26" s="5"/>
      <c r="Z26" s="5"/>
      <c r="AA26" s="6"/>
    </row>
    <row r="27" spans="2:27">
      <c r="B27" s="53">
        <v>900000</v>
      </c>
      <c r="C27" s="20"/>
      <c r="D27" s="5"/>
      <c r="E27" s="5"/>
      <c r="F27" s="5"/>
      <c r="G27" s="5"/>
      <c r="H27" s="5"/>
      <c r="I27" s="6"/>
      <c r="K27" s="32">
        <f>$B$27</f>
        <v>900000</v>
      </c>
      <c r="L27" s="20"/>
      <c r="M27" s="5"/>
      <c r="N27" s="5"/>
      <c r="O27" s="5"/>
      <c r="P27" s="5"/>
      <c r="Q27" s="5"/>
      <c r="R27" s="6"/>
      <c r="T27" s="32">
        <f>$B$27</f>
        <v>900000</v>
      </c>
      <c r="U27" s="20"/>
      <c r="V27" s="5"/>
      <c r="W27" s="5"/>
      <c r="X27" s="5"/>
      <c r="Y27" s="5"/>
      <c r="Z27" s="5"/>
      <c r="AA27" s="6"/>
    </row>
    <row r="28" spans="2:27">
      <c r="B28" s="53">
        <v>1000000</v>
      </c>
      <c r="C28" s="20"/>
      <c r="D28" s="5"/>
      <c r="E28" s="5"/>
      <c r="F28" s="5"/>
      <c r="G28" s="5"/>
      <c r="H28" s="5"/>
      <c r="I28" s="6"/>
      <c r="K28" s="32">
        <f>$B$28</f>
        <v>1000000</v>
      </c>
      <c r="L28" s="20"/>
      <c r="M28" s="5"/>
      <c r="N28" s="5"/>
      <c r="O28" s="5"/>
      <c r="P28" s="5"/>
      <c r="Q28" s="5"/>
      <c r="R28" s="6"/>
      <c r="T28" s="32">
        <f>$B$28</f>
        <v>1000000</v>
      </c>
      <c r="U28" s="20"/>
      <c r="V28" s="5"/>
      <c r="W28" s="5"/>
      <c r="X28" s="5"/>
      <c r="Y28" s="5"/>
      <c r="Z28" s="5"/>
      <c r="AA28" s="6"/>
    </row>
    <row r="29" spans="2:27">
      <c r="B29" s="53">
        <v>2000000</v>
      </c>
      <c r="C29" s="20"/>
      <c r="D29" s="5"/>
      <c r="E29" s="5"/>
      <c r="F29" s="5"/>
      <c r="G29" s="5"/>
      <c r="H29" s="5"/>
      <c r="I29" s="6"/>
      <c r="K29" s="32">
        <f>$B$29</f>
        <v>2000000</v>
      </c>
      <c r="L29" s="20"/>
      <c r="M29" s="5"/>
      <c r="N29" s="5"/>
      <c r="O29" s="5"/>
      <c r="P29" s="5"/>
      <c r="Q29" s="5"/>
      <c r="R29" s="6"/>
      <c r="T29" s="32">
        <f>$B$29</f>
        <v>2000000</v>
      </c>
      <c r="U29" s="20"/>
      <c r="V29" s="5"/>
      <c r="W29" s="5"/>
      <c r="X29" s="5"/>
      <c r="Y29" s="5"/>
      <c r="Z29" s="5"/>
      <c r="AA29" s="6"/>
    </row>
    <row r="30" spans="2:27">
      <c r="B30" s="53">
        <v>3000000</v>
      </c>
      <c r="C30" s="20"/>
      <c r="D30" s="5"/>
      <c r="E30" s="5"/>
      <c r="F30" s="5"/>
      <c r="G30" s="5"/>
      <c r="H30" s="5"/>
      <c r="I30" s="6"/>
      <c r="K30" s="32">
        <f>$B$30</f>
        <v>3000000</v>
      </c>
      <c r="L30" s="20"/>
      <c r="M30" s="5"/>
      <c r="N30" s="5"/>
      <c r="O30" s="5"/>
      <c r="P30" s="5"/>
      <c r="Q30" s="5"/>
      <c r="R30" s="6"/>
      <c r="T30" s="32">
        <f>$B$30</f>
        <v>3000000</v>
      </c>
      <c r="U30" s="20"/>
      <c r="V30" s="5"/>
      <c r="W30" s="5"/>
      <c r="X30" s="5"/>
      <c r="Y30" s="5"/>
      <c r="Z30" s="5"/>
      <c r="AA30" s="6"/>
    </row>
    <row r="31" spans="2:27">
      <c r="B31" s="53">
        <v>4000000</v>
      </c>
      <c r="C31" s="20"/>
      <c r="D31" s="5"/>
      <c r="E31" s="5"/>
      <c r="F31" s="5"/>
      <c r="G31" s="5"/>
      <c r="H31" s="5"/>
      <c r="I31" s="6"/>
      <c r="K31" s="32">
        <f>$B$31</f>
        <v>4000000</v>
      </c>
      <c r="L31" s="20"/>
      <c r="M31" s="5"/>
      <c r="N31" s="5"/>
      <c r="O31" s="5"/>
      <c r="P31" s="5"/>
      <c r="Q31" s="5"/>
      <c r="R31" s="6"/>
      <c r="T31" s="32">
        <f>$B$31</f>
        <v>4000000</v>
      </c>
      <c r="U31" s="20"/>
      <c r="V31" s="5"/>
      <c r="W31" s="5"/>
      <c r="X31" s="5"/>
      <c r="Y31" s="5"/>
      <c r="Z31" s="5"/>
      <c r="AA31" s="6"/>
    </row>
    <row r="32" spans="2:27" ht="14" thickBot="1">
      <c r="B32" s="54">
        <v>5000000</v>
      </c>
      <c r="C32" s="21"/>
      <c r="D32" s="7"/>
      <c r="E32" s="7"/>
      <c r="F32" s="7"/>
      <c r="G32" s="7"/>
      <c r="H32" s="7"/>
      <c r="I32" s="8"/>
      <c r="K32" s="33">
        <f>$B$32</f>
        <v>5000000</v>
      </c>
      <c r="L32" s="21"/>
      <c r="M32" s="7"/>
      <c r="N32" s="7"/>
      <c r="O32" s="7"/>
      <c r="P32" s="7"/>
      <c r="Q32" s="7"/>
      <c r="R32" s="8"/>
      <c r="T32" s="33">
        <f>$B$32</f>
        <v>5000000</v>
      </c>
      <c r="U32" s="21"/>
      <c r="V32" s="7"/>
      <c r="W32" s="7"/>
      <c r="X32" s="7"/>
      <c r="Y32" s="7"/>
      <c r="Z32" s="7"/>
      <c r="AA32" s="8"/>
    </row>
    <row r="33" spans="2:27">
      <c r="B33" s="2"/>
      <c r="C33" s="2"/>
      <c r="D33" s="2"/>
      <c r="E33" s="2"/>
      <c r="F33" s="2"/>
      <c r="G33" s="2"/>
      <c r="H33" s="2"/>
      <c r="I33" s="2"/>
      <c r="K33" s="2"/>
      <c r="L33" s="2"/>
      <c r="M33" s="2"/>
      <c r="N33" s="2"/>
      <c r="O33" s="2"/>
      <c r="P33" s="2"/>
      <c r="Q33" s="2"/>
      <c r="R33" s="2"/>
      <c r="T33" s="2"/>
      <c r="U33" s="2"/>
      <c r="V33" s="2"/>
      <c r="W33" s="2"/>
      <c r="X33" s="2"/>
      <c r="Y33" s="2"/>
      <c r="Z33" s="2"/>
      <c r="AA33" s="2"/>
    </row>
    <row r="34" spans="2:27">
      <c r="B34" s="2"/>
      <c r="C34" s="56" t="s">
        <v>4</v>
      </c>
      <c r="D34" s="57"/>
      <c r="E34" s="57"/>
      <c r="F34" s="57"/>
      <c r="G34" s="57"/>
      <c r="H34" s="57"/>
      <c r="I34" s="58"/>
      <c r="K34" s="2"/>
      <c r="L34" s="56" t="s">
        <v>4</v>
      </c>
      <c r="M34" s="57"/>
      <c r="N34" s="57"/>
      <c r="O34" s="57"/>
      <c r="P34" s="57"/>
      <c r="Q34" s="57"/>
      <c r="R34" s="58"/>
      <c r="T34" s="2"/>
      <c r="U34" s="56" t="s">
        <v>4</v>
      </c>
      <c r="V34" s="57"/>
      <c r="W34" s="57"/>
      <c r="X34" s="57"/>
      <c r="Y34" s="57"/>
      <c r="Z34" s="57"/>
      <c r="AA34" s="58"/>
    </row>
    <row r="35" spans="2:27" ht="15">
      <c r="B35" s="18" t="s">
        <v>62</v>
      </c>
      <c r="C35" s="28">
        <f>$C$18</f>
        <v>500</v>
      </c>
      <c r="D35" s="29">
        <f>$D$18</f>
        <v>1000</v>
      </c>
      <c r="E35" s="29">
        <f>$E$18</f>
        <v>2500</v>
      </c>
      <c r="F35" s="29">
        <f>$F$18</f>
        <v>3000</v>
      </c>
      <c r="G35" s="29">
        <f>$G$18</f>
        <v>4000</v>
      </c>
      <c r="H35" s="29">
        <f>$H$18</f>
        <v>8000</v>
      </c>
      <c r="I35" s="30">
        <f>$I$18</f>
        <v>16000</v>
      </c>
      <c r="K35" s="18" t="s">
        <v>62</v>
      </c>
      <c r="L35" s="28">
        <f>$C$18</f>
        <v>500</v>
      </c>
      <c r="M35" s="29">
        <f>$D$18</f>
        <v>1000</v>
      </c>
      <c r="N35" s="29">
        <f>$E$18</f>
        <v>2500</v>
      </c>
      <c r="O35" s="29">
        <f>$F$18</f>
        <v>3000</v>
      </c>
      <c r="P35" s="29">
        <f>$G$18</f>
        <v>4000</v>
      </c>
      <c r="Q35" s="29">
        <f>$H$18</f>
        <v>8000</v>
      </c>
      <c r="R35" s="30">
        <f>$I$18</f>
        <v>16000</v>
      </c>
      <c r="T35" s="18" t="s">
        <v>62</v>
      </c>
      <c r="U35" s="28">
        <f>$C$18</f>
        <v>500</v>
      </c>
      <c r="V35" s="29">
        <f>$D$18</f>
        <v>1000</v>
      </c>
      <c r="W35" s="29">
        <f>$E$18</f>
        <v>2500</v>
      </c>
      <c r="X35" s="29">
        <f>$F$18</f>
        <v>3000</v>
      </c>
      <c r="Y35" s="29">
        <f>$G$18</f>
        <v>4000</v>
      </c>
      <c r="Z35" s="29">
        <f>$H$18</f>
        <v>8000</v>
      </c>
      <c r="AA35" s="30">
        <f>$I$18</f>
        <v>16000</v>
      </c>
    </row>
    <row r="36" spans="2:27">
      <c r="B36" s="31">
        <f>$B$19</f>
        <v>100000</v>
      </c>
      <c r="C36" s="9"/>
      <c r="D36" s="10"/>
      <c r="E36" s="10"/>
      <c r="F36" s="10"/>
      <c r="G36" s="10"/>
      <c r="H36" s="10"/>
      <c r="I36" s="11"/>
      <c r="K36" s="31">
        <f>$B$19</f>
        <v>100000</v>
      </c>
      <c r="L36" s="9"/>
      <c r="M36" s="10"/>
      <c r="N36" s="10"/>
      <c r="O36" s="10"/>
      <c r="P36" s="10"/>
      <c r="Q36" s="10"/>
      <c r="R36" s="11"/>
      <c r="T36" s="31">
        <f>$B$19</f>
        <v>100000</v>
      </c>
      <c r="U36" s="9"/>
      <c r="V36" s="10"/>
      <c r="W36" s="10"/>
      <c r="X36" s="10"/>
      <c r="Y36" s="10"/>
      <c r="Z36" s="10"/>
      <c r="AA36" s="11"/>
    </row>
    <row r="37" spans="2:27">
      <c r="B37" s="32">
        <f>$B$20</f>
        <v>200000</v>
      </c>
      <c r="C37" s="12"/>
      <c r="D37" s="13"/>
      <c r="E37" s="13"/>
      <c r="F37" s="13"/>
      <c r="G37" s="13"/>
      <c r="H37" s="13"/>
      <c r="I37" s="14"/>
      <c r="K37" s="32">
        <f>$B$20</f>
        <v>200000</v>
      </c>
      <c r="L37" s="12"/>
      <c r="M37" s="13"/>
      <c r="N37" s="13"/>
      <c r="O37" s="13"/>
      <c r="P37" s="13"/>
      <c r="Q37" s="13"/>
      <c r="R37" s="14"/>
      <c r="T37" s="32">
        <f>$B$20</f>
        <v>200000</v>
      </c>
      <c r="U37" s="12"/>
      <c r="V37" s="13"/>
      <c r="W37" s="13"/>
      <c r="X37" s="13"/>
      <c r="Y37" s="13"/>
      <c r="Z37" s="13"/>
      <c r="AA37" s="14"/>
    </row>
    <row r="38" spans="2:27">
      <c r="B38" s="32">
        <f>$B$21</f>
        <v>300000</v>
      </c>
      <c r="C38" s="12"/>
      <c r="D38" s="13"/>
      <c r="E38" s="13"/>
      <c r="F38" s="13"/>
      <c r="G38" s="13"/>
      <c r="H38" s="13"/>
      <c r="I38" s="14"/>
      <c r="K38" s="32">
        <f>$B$21</f>
        <v>300000</v>
      </c>
      <c r="L38" s="12"/>
      <c r="M38" s="13"/>
      <c r="N38" s="13"/>
      <c r="O38" s="13"/>
      <c r="P38" s="13"/>
      <c r="Q38" s="13"/>
      <c r="R38" s="14"/>
      <c r="T38" s="32">
        <f>$B$21</f>
        <v>300000</v>
      </c>
      <c r="U38" s="12"/>
      <c r="V38" s="13"/>
      <c r="W38" s="13"/>
      <c r="X38" s="13"/>
      <c r="Y38" s="13"/>
      <c r="Z38" s="13"/>
      <c r="AA38" s="14"/>
    </row>
    <row r="39" spans="2:27">
      <c r="B39" s="32">
        <f>$B$22</f>
        <v>400000</v>
      </c>
      <c r="C39" s="12"/>
      <c r="D39" s="13"/>
      <c r="E39" s="13"/>
      <c r="F39" s="13"/>
      <c r="G39" s="13"/>
      <c r="H39" s="13"/>
      <c r="I39" s="14"/>
      <c r="K39" s="32">
        <f>$B$22</f>
        <v>400000</v>
      </c>
      <c r="L39" s="12"/>
      <c r="M39" s="13"/>
      <c r="N39" s="13"/>
      <c r="O39" s="13"/>
      <c r="P39" s="13"/>
      <c r="Q39" s="13"/>
      <c r="R39" s="14"/>
      <c r="T39" s="32">
        <f>$B$22</f>
        <v>400000</v>
      </c>
      <c r="U39" s="12"/>
      <c r="V39" s="13"/>
      <c r="W39" s="13"/>
      <c r="X39" s="13"/>
      <c r="Y39" s="13"/>
      <c r="Z39" s="13"/>
      <c r="AA39" s="14"/>
    </row>
    <row r="40" spans="2:27">
      <c r="B40" s="32">
        <f>$B$23</f>
        <v>500000</v>
      </c>
      <c r="C40" s="12"/>
      <c r="D40" s="13"/>
      <c r="E40" s="13"/>
      <c r="F40" s="13"/>
      <c r="G40" s="13"/>
      <c r="H40" s="13"/>
      <c r="I40" s="14"/>
      <c r="K40" s="32">
        <f>$B$23</f>
        <v>500000</v>
      </c>
      <c r="L40" s="12"/>
      <c r="M40" s="13"/>
      <c r="N40" s="13"/>
      <c r="O40" s="13"/>
      <c r="P40" s="13"/>
      <c r="Q40" s="13"/>
      <c r="R40" s="14"/>
      <c r="T40" s="32">
        <f>$B$23</f>
        <v>500000</v>
      </c>
      <c r="U40" s="12"/>
      <c r="V40" s="13"/>
      <c r="W40" s="13"/>
      <c r="X40" s="13"/>
      <c r="Y40" s="13"/>
      <c r="Z40" s="13"/>
      <c r="AA40" s="14"/>
    </row>
    <row r="41" spans="2:27">
      <c r="B41" s="32">
        <f>$B$24</f>
        <v>600000</v>
      </c>
      <c r="C41" s="12"/>
      <c r="D41" s="13"/>
      <c r="E41" s="13"/>
      <c r="F41" s="13"/>
      <c r="G41" s="13"/>
      <c r="H41" s="13"/>
      <c r="I41" s="14"/>
      <c r="K41" s="32">
        <f>$B$24</f>
        <v>600000</v>
      </c>
      <c r="L41" s="12"/>
      <c r="M41" s="13"/>
      <c r="N41" s="13"/>
      <c r="O41" s="13"/>
      <c r="P41" s="13"/>
      <c r="Q41" s="13"/>
      <c r="R41" s="14"/>
      <c r="T41" s="32">
        <f>$B$24</f>
        <v>600000</v>
      </c>
      <c r="U41" s="12"/>
      <c r="V41" s="13"/>
      <c r="W41" s="13"/>
      <c r="X41" s="13"/>
      <c r="Y41" s="13"/>
      <c r="Z41" s="13"/>
      <c r="AA41" s="14"/>
    </row>
    <row r="42" spans="2:27">
      <c r="B42" s="32">
        <f>$B$25</f>
        <v>700000</v>
      </c>
      <c r="C42" s="12"/>
      <c r="D42" s="13"/>
      <c r="E42" s="13"/>
      <c r="F42" s="13"/>
      <c r="G42" s="13"/>
      <c r="H42" s="13"/>
      <c r="I42" s="14"/>
      <c r="K42" s="32">
        <f>$B$25</f>
        <v>700000</v>
      </c>
      <c r="L42" s="12"/>
      <c r="M42" s="13"/>
      <c r="N42" s="13"/>
      <c r="O42" s="13"/>
      <c r="P42" s="13"/>
      <c r="Q42" s="13"/>
      <c r="R42" s="14"/>
      <c r="T42" s="32">
        <f>$B$25</f>
        <v>700000</v>
      </c>
      <c r="U42" s="12"/>
      <c r="V42" s="13"/>
      <c r="W42" s="13"/>
      <c r="X42" s="13"/>
      <c r="Y42" s="13"/>
      <c r="Z42" s="13"/>
      <c r="AA42" s="14"/>
    </row>
    <row r="43" spans="2:27">
      <c r="B43" s="32">
        <f>$B$26</f>
        <v>800000</v>
      </c>
      <c r="C43" s="12"/>
      <c r="D43" s="13"/>
      <c r="E43" s="13"/>
      <c r="F43" s="13"/>
      <c r="G43" s="13"/>
      <c r="H43" s="13"/>
      <c r="I43" s="14"/>
      <c r="K43" s="32">
        <f>$B$26</f>
        <v>800000</v>
      </c>
      <c r="L43" s="12"/>
      <c r="M43" s="13"/>
      <c r="N43" s="13"/>
      <c r="O43" s="13"/>
      <c r="P43" s="13"/>
      <c r="Q43" s="13"/>
      <c r="R43" s="14"/>
      <c r="T43" s="32">
        <f>$B$26</f>
        <v>800000</v>
      </c>
      <c r="U43" s="12"/>
      <c r="V43" s="13"/>
      <c r="W43" s="13"/>
      <c r="X43" s="13"/>
      <c r="Y43" s="13"/>
      <c r="Z43" s="13"/>
      <c r="AA43" s="14"/>
    </row>
    <row r="44" spans="2:27">
      <c r="B44" s="32">
        <f>$B$27</f>
        <v>900000</v>
      </c>
      <c r="C44" s="12"/>
      <c r="D44" s="13"/>
      <c r="E44" s="13"/>
      <c r="F44" s="13"/>
      <c r="G44" s="13"/>
      <c r="H44" s="13"/>
      <c r="I44" s="14"/>
      <c r="K44" s="32">
        <f>$B$27</f>
        <v>900000</v>
      </c>
      <c r="L44" s="12"/>
      <c r="M44" s="13"/>
      <c r="N44" s="13"/>
      <c r="O44" s="13"/>
      <c r="P44" s="13"/>
      <c r="Q44" s="13"/>
      <c r="R44" s="14"/>
      <c r="T44" s="32">
        <f>$B$27</f>
        <v>900000</v>
      </c>
      <c r="U44" s="12"/>
      <c r="V44" s="13"/>
      <c r="W44" s="13"/>
      <c r="X44" s="13"/>
      <c r="Y44" s="13"/>
      <c r="Z44" s="13"/>
      <c r="AA44" s="14"/>
    </row>
    <row r="45" spans="2:27">
      <c r="B45" s="32">
        <f>$B$28</f>
        <v>1000000</v>
      </c>
      <c r="C45" s="12"/>
      <c r="D45" s="13"/>
      <c r="E45" s="13"/>
      <c r="F45" s="13"/>
      <c r="G45" s="13"/>
      <c r="H45" s="13"/>
      <c r="I45" s="14"/>
      <c r="K45" s="32">
        <f>$B$28</f>
        <v>1000000</v>
      </c>
      <c r="L45" s="12"/>
      <c r="M45" s="13"/>
      <c r="N45" s="13"/>
      <c r="O45" s="13"/>
      <c r="P45" s="13"/>
      <c r="Q45" s="13"/>
      <c r="R45" s="14"/>
      <c r="T45" s="32">
        <f>$B$28</f>
        <v>1000000</v>
      </c>
      <c r="U45" s="12"/>
      <c r="V45" s="13"/>
      <c r="W45" s="13"/>
      <c r="X45" s="13"/>
      <c r="Y45" s="13"/>
      <c r="Z45" s="13"/>
      <c r="AA45" s="14"/>
    </row>
    <row r="46" spans="2:27">
      <c r="B46" s="32">
        <f>$B$29</f>
        <v>2000000</v>
      </c>
      <c r="C46" s="12"/>
      <c r="D46" s="13"/>
      <c r="E46" s="13"/>
      <c r="F46" s="13"/>
      <c r="G46" s="13"/>
      <c r="H46" s="13"/>
      <c r="I46" s="14"/>
      <c r="K46" s="32">
        <f>$B$29</f>
        <v>2000000</v>
      </c>
      <c r="L46" s="12"/>
      <c r="M46" s="13"/>
      <c r="N46" s="13"/>
      <c r="O46" s="13"/>
      <c r="P46" s="13"/>
      <c r="Q46" s="13"/>
      <c r="R46" s="14"/>
      <c r="T46" s="32">
        <f>$B$29</f>
        <v>2000000</v>
      </c>
      <c r="U46" s="12"/>
      <c r="V46" s="13"/>
      <c r="W46" s="13"/>
      <c r="X46" s="13"/>
      <c r="Y46" s="13"/>
      <c r="Z46" s="13"/>
      <c r="AA46" s="14"/>
    </row>
    <row r="47" spans="2:27">
      <c r="B47" s="32">
        <f>$B$30</f>
        <v>3000000</v>
      </c>
      <c r="C47" s="12"/>
      <c r="D47" s="13"/>
      <c r="E47" s="13"/>
      <c r="F47" s="13"/>
      <c r="G47" s="13"/>
      <c r="H47" s="13"/>
      <c r="I47" s="14"/>
      <c r="K47" s="32">
        <f>$B$30</f>
        <v>3000000</v>
      </c>
      <c r="L47" s="12"/>
      <c r="M47" s="13"/>
      <c r="N47" s="13"/>
      <c r="O47" s="13"/>
      <c r="P47" s="13"/>
      <c r="Q47" s="13"/>
      <c r="R47" s="14"/>
      <c r="T47" s="32">
        <f>$B$30</f>
        <v>3000000</v>
      </c>
      <c r="U47" s="12"/>
      <c r="V47" s="13"/>
      <c r="W47" s="13"/>
      <c r="X47" s="13"/>
      <c r="Y47" s="13"/>
      <c r="Z47" s="13"/>
      <c r="AA47" s="14"/>
    </row>
    <row r="48" spans="2:27">
      <c r="B48" s="32">
        <f>$B$31</f>
        <v>4000000</v>
      </c>
      <c r="C48" s="12"/>
      <c r="D48" s="13"/>
      <c r="E48" s="13"/>
      <c r="F48" s="13"/>
      <c r="G48" s="13"/>
      <c r="H48" s="13"/>
      <c r="I48" s="14"/>
      <c r="K48" s="32">
        <f>$B$31</f>
        <v>4000000</v>
      </c>
      <c r="L48" s="12"/>
      <c r="M48" s="13"/>
      <c r="N48" s="13"/>
      <c r="O48" s="13"/>
      <c r="P48" s="13"/>
      <c r="Q48" s="13"/>
      <c r="R48" s="14"/>
      <c r="T48" s="32">
        <f>$B$31</f>
        <v>4000000</v>
      </c>
      <c r="U48" s="12"/>
      <c r="V48" s="13"/>
      <c r="W48" s="13"/>
      <c r="X48" s="13"/>
      <c r="Y48" s="13"/>
      <c r="Z48" s="13"/>
      <c r="AA48" s="14"/>
    </row>
    <row r="49" spans="2:27">
      <c r="B49" s="33">
        <f>$B$32</f>
        <v>5000000</v>
      </c>
      <c r="C49" s="15"/>
      <c r="D49" s="16"/>
      <c r="E49" s="16"/>
      <c r="F49" s="16"/>
      <c r="G49" s="16"/>
      <c r="H49" s="16"/>
      <c r="I49" s="17"/>
      <c r="K49" s="33">
        <f>$B$32</f>
        <v>5000000</v>
      </c>
      <c r="L49" s="15"/>
      <c r="M49" s="16"/>
      <c r="N49" s="16"/>
      <c r="O49" s="16"/>
      <c r="P49" s="16"/>
      <c r="Q49" s="16"/>
      <c r="R49" s="17"/>
      <c r="T49" s="33">
        <f>$B$32</f>
        <v>5000000</v>
      </c>
      <c r="U49" s="15"/>
      <c r="V49" s="16"/>
      <c r="W49" s="16"/>
      <c r="X49" s="16"/>
      <c r="Y49" s="16"/>
      <c r="Z49" s="16"/>
      <c r="AA49" s="17"/>
    </row>
    <row r="50" spans="2:27">
      <c r="B50" s="2"/>
      <c r="C50" s="2"/>
      <c r="D50" s="2"/>
      <c r="E50" s="2"/>
      <c r="F50" s="2"/>
      <c r="G50" s="2"/>
      <c r="H50" s="2"/>
      <c r="I50" s="2"/>
      <c r="K50" s="2"/>
      <c r="L50" s="2"/>
      <c r="M50" s="2"/>
      <c r="N50" s="2"/>
      <c r="O50" s="2"/>
      <c r="P50" s="2"/>
      <c r="Q50" s="2"/>
      <c r="R50" s="2"/>
      <c r="T50" s="2"/>
      <c r="U50" s="2"/>
      <c r="V50" s="2"/>
      <c r="W50" s="2"/>
      <c r="X50" s="2"/>
      <c r="Y50" s="2"/>
      <c r="Z50" s="2"/>
      <c r="AA50" s="2"/>
    </row>
    <row r="51" spans="2:27">
      <c r="B51" s="2"/>
      <c r="C51" s="56" t="s">
        <v>39</v>
      </c>
      <c r="D51" s="57"/>
      <c r="E51" s="57"/>
      <c r="F51" s="57"/>
      <c r="G51" s="57"/>
      <c r="H51" s="57"/>
      <c r="I51" s="58"/>
      <c r="K51" s="2"/>
      <c r="L51" s="56" t="s">
        <v>39</v>
      </c>
      <c r="M51" s="57"/>
      <c r="N51" s="57"/>
      <c r="O51" s="57"/>
      <c r="P51" s="57"/>
      <c r="Q51" s="57"/>
      <c r="R51" s="58"/>
      <c r="T51" s="2"/>
      <c r="U51" s="56" t="s">
        <v>39</v>
      </c>
      <c r="V51" s="57"/>
      <c r="W51" s="57"/>
      <c r="X51" s="57"/>
      <c r="Y51" s="57"/>
      <c r="Z51" s="57"/>
      <c r="AA51" s="58"/>
    </row>
    <row r="52" spans="2:27" ht="15">
      <c r="B52" s="18" t="s">
        <v>62</v>
      </c>
      <c r="C52" s="28">
        <f>$C$18</f>
        <v>500</v>
      </c>
      <c r="D52" s="29">
        <f>$D$18</f>
        <v>1000</v>
      </c>
      <c r="E52" s="29">
        <f>$E$18</f>
        <v>2500</v>
      </c>
      <c r="F52" s="29">
        <f>$F$18</f>
        <v>3000</v>
      </c>
      <c r="G52" s="29">
        <f>$G$18</f>
        <v>4000</v>
      </c>
      <c r="H52" s="29">
        <f>$H$18</f>
        <v>8000</v>
      </c>
      <c r="I52" s="30">
        <f>$I$18</f>
        <v>16000</v>
      </c>
      <c r="K52" s="18" t="s">
        <v>62</v>
      </c>
      <c r="L52" s="28">
        <f>$C$18</f>
        <v>500</v>
      </c>
      <c r="M52" s="29">
        <f>$D$18</f>
        <v>1000</v>
      </c>
      <c r="N52" s="29">
        <f>$E$18</f>
        <v>2500</v>
      </c>
      <c r="O52" s="29">
        <f>$F$18</f>
        <v>3000</v>
      </c>
      <c r="P52" s="29">
        <f>$G$18</f>
        <v>4000</v>
      </c>
      <c r="Q52" s="29">
        <f>$H$18</f>
        <v>8000</v>
      </c>
      <c r="R52" s="30">
        <f>$I$18</f>
        <v>16000</v>
      </c>
      <c r="T52" s="18" t="s">
        <v>62</v>
      </c>
      <c r="U52" s="28">
        <f>$C$18</f>
        <v>500</v>
      </c>
      <c r="V52" s="29">
        <f>$D$18</f>
        <v>1000</v>
      </c>
      <c r="W52" s="29">
        <f>$E$18</f>
        <v>2500</v>
      </c>
      <c r="X52" s="29">
        <f>$F$18</f>
        <v>3000</v>
      </c>
      <c r="Y52" s="29">
        <f>$G$18</f>
        <v>4000</v>
      </c>
      <c r="Z52" s="29">
        <f>$H$18</f>
        <v>8000</v>
      </c>
      <c r="AA52" s="30">
        <f>$I$18</f>
        <v>16000</v>
      </c>
    </row>
    <row r="53" spans="2:27">
      <c r="B53" s="31">
        <f>$B$19</f>
        <v>100000</v>
      </c>
      <c r="C53" s="9"/>
      <c r="D53" s="10"/>
      <c r="E53" s="10"/>
      <c r="F53" s="10"/>
      <c r="G53" s="10"/>
      <c r="H53" s="10"/>
      <c r="I53" s="11"/>
      <c r="K53" s="31">
        <f>$B$19</f>
        <v>100000</v>
      </c>
      <c r="L53" s="9"/>
      <c r="M53" s="10"/>
      <c r="N53" s="10"/>
      <c r="O53" s="10"/>
      <c r="P53" s="10"/>
      <c r="Q53" s="10"/>
      <c r="R53" s="11"/>
      <c r="T53" s="31">
        <f>$B$19</f>
        <v>100000</v>
      </c>
      <c r="U53" s="9"/>
      <c r="V53" s="10"/>
      <c r="W53" s="10"/>
      <c r="X53" s="10"/>
      <c r="Y53" s="10"/>
      <c r="Z53" s="10"/>
      <c r="AA53" s="11"/>
    </row>
    <row r="54" spans="2:27">
      <c r="B54" s="32">
        <f>$B$20</f>
        <v>200000</v>
      </c>
      <c r="C54" s="12"/>
      <c r="D54" s="13"/>
      <c r="E54" s="13"/>
      <c r="F54" s="13"/>
      <c r="G54" s="13"/>
      <c r="H54" s="13"/>
      <c r="I54" s="14"/>
      <c r="K54" s="32">
        <f>$B$20</f>
        <v>200000</v>
      </c>
      <c r="L54" s="12"/>
      <c r="M54" s="13"/>
      <c r="N54" s="13"/>
      <c r="O54" s="13"/>
      <c r="P54" s="13"/>
      <c r="Q54" s="13"/>
      <c r="R54" s="14"/>
      <c r="T54" s="32">
        <f>$B$20</f>
        <v>200000</v>
      </c>
      <c r="U54" s="12"/>
      <c r="V54" s="13"/>
      <c r="W54" s="13"/>
      <c r="X54" s="13"/>
      <c r="Y54" s="13"/>
      <c r="Z54" s="13"/>
      <c r="AA54" s="14"/>
    </row>
    <row r="55" spans="2:27">
      <c r="B55" s="32">
        <f>$B$21</f>
        <v>300000</v>
      </c>
      <c r="C55" s="12"/>
      <c r="D55" s="13"/>
      <c r="E55" s="13"/>
      <c r="F55" s="13"/>
      <c r="G55" s="13"/>
      <c r="H55" s="13"/>
      <c r="I55" s="14"/>
      <c r="K55" s="32">
        <f>$B$21</f>
        <v>300000</v>
      </c>
      <c r="L55" s="12"/>
      <c r="M55" s="13"/>
      <c r="N55" s="13"/>
      <c r="O55" s="13"/>
      <c r="P55" s="13"/>
      <c r="Q55" s="13"/>
      <c r="R55" s="14"/>
      <c r="T55" s="32">
        <f>$B$21</f>
        <v>300000</v>
      </c>
      <c r="U55" s="12"/>
      <c r="V55" s="13"/>
      <c r="W55" s="13"/>
      <c r="X55" s="13"/>
      <c r="Y55" s="13"/>
      <c r="Z55" s="13"/>
      <c r="AA55" s="14"/>
    </row>
    <row r="56" spans="2:27">
      <c r="B56" s="32">
        <f>$B$22</f>
        <v>400000</v>
      </c>
      <c r="C56" s="12"/>
      <c r="D56" s="13"/>
      <c r="E56" s="13"/>
      <c r="F56" s="13"/>
      <c r="G56" s="13"/>
      <c r="H56" s="13"/>
      <c r="I56" s="14"/>
      <c r="K56" s="32">
        <f>$B$22</f>
        <v>400000</v>
      </c>
      <c r="L56" s="12"/>
      <c r="M56" s="13"/>
      <c r="N56" s="13"/>
      <c r="O56" s="13"/>
      <c r="P56" s="13"/>
      <c r="Q56" s="13"/>
      <c r="R56" s="14"/>
      <c r="T56" s="32">
        <f>$B$22</f>
        <v>400000</v>
      </c>
      <c r="U56" s="12"/>
      <c r="V56" s="13"/>
      <c r="W56" s="13"/>
      <c r="X56" s="13"/>
      <c r="Y56" s="13"/>
      <c r="Z56" s="13"/>
      <c r="AA56" s="14"/>
    </row>
    <row r="57" spans="2:27">
      <c r="B57" s="32">
        <f>$B$23</f>
        <v>500000</v>
      </c>
      <c r="C57" s="12"/>
      <c r="D57" s="13"/>
      <c r="E57" s="13"/>
      <c r="F57" s="13"/>
      <c r="G57" s="13"/>
      <c r="H57" s="13"/>
      <c r="I57" s="14"/>
      <c r="K57" s="32">
        <f>$B$23</f>
        <v>500000</v>
      </c>
      <c r="L57" s="12"/>
      <c r="M57" s="13"/>
      <c r="N57" s="13"/>
      <c r="O57" s="13"/>
      <c r="P57" s="13"/>
      <c r="Q57" s="13"/>
      <c r="R57" s="14"/>
      <c r="T57" s="32">
        <f>$B$23</f>
        <v>500000</v>
      </c>
      <c r="U57" s="12"/>
      <c r="V57" s="13"/>
      <c r="W57" s="13"/>
      <c r="X57" s="13"/>
      <c r="Y57" s="13"/>
      <c r="Z57" s="13"/>
      <c r="AA57" s="14"/>
    </row>
    <row r="58" spans="2:27">
      <c r="B58" s="32">
        <f>$B$24</f>
        <v>600000</v>
      </c>
      <c r="C58" s="12"/>
      <c r="D58" s="13"/>
      <c r="E58" s="13"/>
      <c r="F58" s="13"/>
      <c r="G58" s="13"/>
      <c r="H58" s="13"/>
      <c r="I58" s="14"/>
      <c r="K58" s="32">
        <f>$B$24</f>
        <v>600000</v>
      </c>
      <c r="L58" s="12"/>
      <c r="M58" s="13"/>
      <c r="N58" s="13"/>
      <c r="O58" s="13"/>
      <c r="P58" s="13"/>
      <c r="Q58" s="13"/>
      <c r="R58" s="14"/>
      <c r="T58" s="32">
        <f>$B$24</f>
        <v>600000</v>
      </c>
      <c r="U58" s="12"/>
      <c r="V58" s="13"/>
      <c r="W58" s="13"/>
      <c r="X58" s="13"/>
      <c r="Y58" s="13"/>
      <c r="Z58" s="13"/>
      <c r="AA58" s="14"/>
    </row>
    <row r="59" spans="2:27">
      <c r="B59" s="32">
        <f>$B$25</f>
        <v>700000</v>
      </c>
      <c r="C59" s="12"/>
      <c r="D59" s="13"/>
      <c r="E59" s="13"/>
      <c r="F59" s="13"/>
      <c r="G59" s="13"/>
      <c r="H59" s="13"/>
      <c r="I59" s="14"/>
      <c r="K59" s="32">
        <f>$B$25</f>
        <v>700000</v>
      </c>
      <c r="L59" s="12"/>
      <c r="M59" s="13"/>
      <c r="N59" s="13"/>
      <c r="O59" s="13"/>
      <c r="P59" s="13"/>
      <c r="Q59" s="13"/>
      <c r="R59" s="14"/>
      <c r="T59" s="32">
        <f>$B$25</f>
        <v>700000</v>
      </c>
      <c r="U59" s="12"/>
      <c r="V59" s="13"/>
      <c r="W59" s="13"/>
      <c r="X59" s="13"/>
      <c r="Y59" s="13"/>
      <c r="Z59" s="13"/>
      <c r="AA59" s="14"/>
    </row>
    <row r="60" spans="2:27">
      <c r="B60" s="32">
        <f>$B$26</f>
        <v>800000</v>
      </c>
      <c r="C60" s="12"/>
      <c r="D60" s="13"/>
      <c r="E60" s="13"/>
      <c r="F60" s="13"/>
      <c r="G60" s="13"/>
      <c r="H60" s="13"/>
      <c r="I60" s="14"/>
      <c r="K60" s="32">
        <f>$B$26</f>
        <v>800000</v>
      </c>
      <c r="L60" s="12"/>
      <c r="M60" s="13"/>
      <c r="N60" s="13"/>
      <c r="O60" s="13"/>
      <c r="P60" s="13"/>
      <c r="Q60" s="13"/>
      <c r="R60" s="14"/>
      <c r="T60" s="32">
        <f>$B$26</f>
        <v>800000</v>
      </c>
      <c r="U60" s="12"/>
      <c r="V60" s="13"/>
      <c r="W60" s="13"/>
      <c r="X60" s="13"/>
      <c r="Y60" s="13"/>
      <c r="Z60" s="13"/>
      <c r="AA60" s="14"/>
    </row>
    <row r="61" spans="2:27">
      <c r="B61" s="32">
        <f>$B$27</f>
        <v>900000</v>
      </c>
      <c r="C61" s="12"/>
      <c r="D61" s="13"/>
      <c r="E61" s="13"/>
      <c r="F61" s="13"/>
      <c r="G61" s="13"/>
      <c r="H61" s="13"/>
      <c r="I61" s="14"/>
      <c r="K61" s="32">
        <f>$B$27</f>
        <v>900000</v>
      </c>
      <c r="L61" s="12"/>
      <c r="M61" s="13"/>
      <c r="N61" s="13"/>
      <c r="O61" s="13"/>
      <c r="P61" s="13"/>
      <c r="Q61" s="13"/>
      <c r="R61" s="14"/>
      <c r="T61" s="32">
        <f>$B$27</f>
        <v>900000</v>
      </c>
      <c r="U61" s="12"/>
      <c r="V61" s="13"/>
      <c r="W61" s="13"/>
      <c r="X61" s="13"/>
      <c r="Y61" s="13"/>
      <c r="Z61" s="13"/>
      <c r="AA61" s="14"/>
    </row>
    <row r="62" spans="2:27">
      <c r="B62" s="32">
        <f>$B$28</f>
        <v>1000000</v>
      </c>
      <c r="C62" s="12"/>
      <c r="D62" s="13"/>
      <c r="E62" s="13"/>
      <c r="F62" s="13"/>
      <c r="G62" s="13"/>
      <c r="H62" s="13"/>
      <c r="I62" s="14"/>
      <c r="K62" s="32">
        <f>$B$28</f>
        <v>1000000</v>
      </c>
      <c r="L62" s="12"/>
      <c r="M62" s="13"/>
      <c r="N62" s="13"/>
      <c r="O62" s="13"/>
      <c r="P62" s="13"/>
      <c r="Q62" s="13"/>
      <c r="R62" s="14"/>
      <c r="T62" s="32">
        <f>$B$28</f>
        <v>1000000</v>
      </c>
      <c r="U62" s="12"/>
      <c r="V62" s="13"/>
      <c r="W62" s="13"/>
      <c r="X62" s="13"/>
      <c r="Y62" s="13"/>
      <c r="Z62" s="13"/>
      <c r="AA62" s="14"/>
    </row>
    <row r="63" spans="2:27">
      <c r="B63" s="32">
        <f>$B$29</f>
        <v>2000000</v>
      </c>
      <c r="C63" s="12"/>
      <c r="D63" s="13"/>
      <c r="E63" s="13"/>
      <c r="F63" s="13"/>
      <c r="G63" s="13"/>
      <c r="H63" s="13"/>
      <c r="I63" s="14"/>
      <c r="K63" s="32">
        <f>$B$29</f>
        <v>2000000</v>
      </c>
      <c r="L63" s="12"/>
      <c r="M63" s="13"/>
      <c r="N63" s="13"/>
      <c r="O63" s="13"/>
      <c r="P63" s="13"/>
      <c r="Q63" s="13"/>
      <c r="R63" s="14"/>
      <c r="T63" s="32">
        <f>$B$29</f>
        <v>2000000</v>
      </c>
      <c r="U63" s="12"/>
      <c r="V63" s="13"/>
      <c r="W63" s="13"/>
      <c r="X63" s="13"/>
      <c r="Y63" s="13"/>
      <c r="Z63" s="13"/>
      <c r="AA63" s="14"/>
    </row>
    <row r="64" spans="2:27">
      <c r="B64" s="32">
        <f>$B$30</f>
        <v>3000000</v>
      </c>
      <c r="C64" s="12"/>
      <c r="D64" s="13"/>
      <c r="E64" s="13"/>
      <c r="F64" s="13"/>
      <c r="G64" s="13"/>
      <c r="H64" s="13"/>
      <c r="I64" s="14"/>
      <c r="K64" s="32">
        <f>$B$30</f>
        <v>3000000</v>
      </c>
      <c r="L64" s="12"/>
      <c r="M64" s="13"/>
      <c r="N64" s="13"/>
      <c r="O64" s="13"/>
      <c r="P64" s="13"/>
      <c r="Q64" s="13"/>
      <c r="R64" s="14"/>
      <c r="T64" s="32">
        <f>$B$30</f>
        <v>3000000</v>
      </c>
      <c r="U64" s="12"/>
      <c r="V64" s="13"/>
      <c r="W64" s="13"/>
      <c r="X64" s="13"/>
      <c r="Y64" s="13"/>
      <c r="Z64" s="13"/>
      <c r="AA64" s="14"/>
    </row>
    <row r="65" spans="2:27">
      <c r="B65" s="32">
        <f>$B$31</f>
        <v>4000000</v>
      </c>
      <c r="C65" s="12"/>
      <c r="D65" s="13"/>
      <c r="E65" s="13"/>
      <c r="F65" s="13"/>
      <c r="G65" s="13"/>
      <c r="H65" s="13"/>
      <c r="I65" s="14"/>
      <c r="K65" s="32">
        <f>$B$31</f>
        <v>4000000</v>
      </c>
      <c r="L65" s="12"/>
      <c r="M65" s="13"/>
      <c r="N65" s="13"/>
      <c r="O65" s="13"/>
      <c r="P65" s="13"/>
      <c r="Q65" s="13"/>
      <c r="R65" s="14"/>
      <c r="T65" s="32">
        <f>$B$31</f>
        <v>4000000</v>
      </c>
      <c r="U65" s="12"/>
      <c r="V65" s="13"/>
      <c r="W65" s="13"/>
      <c r="X65" s="13"/>
      <c r="Y65" s="13"/>
      <c r="Z65" s="13"/>
      <c r="AA65" s="14"/>
    </row>
    <row r="66" spans="2:27">
      <c r="B66" s="33">
        <f>$B$32</f>
        <v>5000000</v>
      </c>
      <c r="C66" s="15"/>
      <c r="D66" s="16"/>
      <c r="E66" s="16"/>
      <c r="F66" s="16"/>
      <c r="G66" s="16"/>
      <c r="H66" s="16"/>
      <c r="I66" s="17"/>
      <c r="K66" s="33">
        <f>$B$32</f>
        <v>5000000</v>
      </c>
      <c r="L66" s="15"/>
      <c r="M66" s="16"/>
      <c r="N66" s="16"/>
      <c r="O66" s="16"/>
      <c r="P66" s="16"/>
      <c r="Q66" s="16"/>
      <c r="R66" s="17"/>
      <c r="T66" s="33">
        <f>$B$32</f>
        <v>5000000</v>
      </c>
      <c r="U66" s="15"/>
      <c r="V66" s="16"/>
      <c r="W66" s="16"/>
      <c r="X66" s="16"/>
      <c r="Y66" s="16"/>
      <c r="Z66" s="16"/>
      <c r="AA66" s="17"/>
    </row>
    <row r="67" spans="2:27">
      <c r="B67" s="2"/>
      <c r="C67" s="2"/>
      <c r="D67" s="2"/>
      <c r="E67" s="2"/>
      <c r="F67" s="2"/>
      <c r="G67" s="2"/>
      <c r="H67" s="2"/>
      <c r="I67" s="2"/>
    </row>
    <row r="102" spans="3:18">
      <c r="C102" s="25"/>
      <c r="D102" s="26"/>
      <c r="E102" s="26"/>
      <c r="J102" s="25"/>
      <c r="R102" s="25"/>
    </row>
    <row r="103" spans="3:18">
      <c r="E103" s="27"/>
      <c r="F103" s="27"/>
      <c r="G103" s="27"/>
      <c r="H103" s="27"/>
      <c r="I103" s="27"/>
      <c r="L103" s="27"/>
      <c r="M103" s="27"/>
      <c r="N103" s="27"/>
      <c r="O103" s="27"/>
      <c r="P103" s="27"/>
      <c r="Q103" s="27"/>
    </row>
  </sheetData>
  <sheetProtection formatColumns="0" formatRows="0"/>
  <mergeCells count="53">
    <mergeCell ref="B7:C7"/>
    <mergeCell ref="D7:E7"/>
    <mergeCell ref="K7:L7"/>
    <mergeCell ref="B8:C8"/>
    <mergeCell ref="D8:E8"/>
    <mergeCell ref="H7:I7"/>
    <mergeCell ref="H8:I8"/>
    <mergeCell ref="F7:G7"/>
    <mergeCell ref="F8:G8"/>
    <mergeCell ref="K4:M4"/>
    <mergeCell ref="B5:C5"/>
    <mergeCell ref="D5:E5"/>
    <mergeCell ref="B6:C6"/>
    <mergeCell ref="D6:E6"/>
    <mergeCell ref="H4:I4"/>
    <mergeCell ref="H5:I5"/>
    <mergeCell ref="H6:I6"/>
    <mergeCell ref="F4:G4"/>
    <mergeCell ref="F5:G5"/>
    <mergeCell ref="F6:G6"/>
    <mergeCell ref="D12:E12"/>
    <mergeCell ref="H10:I10"/>
    <mergeCell ref="H11:I11"/>
    <mergeCell ref="H12:I12"/>
    <mergeCell ref="D4:E4"/>
    <mergeCell ref="B10:C10"/>
    <mergeCell ref="D10:E10"/>
    <mergeCell ref="D9:E9"/>
    <mergeCell ref="K10:L10"/>
    <mergeCell ref="B11:C11"/>
    <mergeCell ref="D11:E11"/>
    <mergeCell ref="H9:I9"/>
    <mergeCell ref="F13:G13"/>
    <mergeCell ref="H13:I13"/>
    <mergeCell ref="L17:R17"/>
    <mergeCell ref="L34:R34"/>
    <mergeCell ref="F9:G9"/>
    <mergeCell ref="F10:G10"/>
    <mergeCell ref="F11:G11"/>
    <mergeCell ref="F12:G12"/>
    <mergeCell ref="B13:C13"/>
    <mergeCell ref="D13:E13"/>
    <mergeCell ref="K13:L13"/>
    <mergeCell ref="U17:AA17"/>
    <mergeCell ref="U34:AA34"/>
    <mergeCell ref="U51:AA51"/>
    <mergeCell ref="C15:I15"/>
    <mergeCell ref="L15:R15"/>
    <mergeCell ref="U15:AA15"/>
    <mergeCell ref="C17:I17"/>
    <mergeCell ref="C34:I34"/>
    <mergeCell ref="C51:I51"/>
    <mergeCell ref="L51:R51"/>
  </mergeCells>
  <conditionalFormatting sqref="C19:I32 L19:R32 U19:AA32">
    <cfRule type="colorScale" priority="4">
      <colorScale>
        <cfvo type="min"/>
        <cfvo type="percentile" val="50"/>
        <cfvo type="max"/>
        <color rgb="FFF8696B"/>
        <color theme="0" tint="-0.14999847407452621"/>
        <color rgb="FF63BE7B"/>
      </colorScale>
    </cfRule>
  </conditionalFormatting>
  <conditionalFormatting sqref="C36:I49 L36:R49 U36:AA49">
    <cfRule type="colorScale" priority="5">
      <colorScale>
        <cfvo type="min"/>
        <cfvo type="percentile" val="50"/>
        <cfvo type="max"/>
        <color rgb="FF63BE7B"/>
        <color theme="0" tint="-0.14999847407452621"/>
        <color rgb="FFF8696B"/>
      </colorScale>
    </cfRule>
  </conditionalFormatting>
  <conditionalFormatting sqref="C53:I66 C36:I49 C19:I32">
    <cfRule type="expression" dxfId="2" priority="7">
      <formula>$B19&lt;$D$13</formula>
    </cfRule>
  </conditionalFormatting>
  <conditionalFormatting sqref="C53:I66 L53:R66 U53:AA66">
    <cfRule type="colorScale" priority="6">
      <colorScale>
        <cfvo type="min"/>
        <cfvo type="percentile" val="50"/>
        <cfvo type="max"/>
        <color rgb="FF63BE7B"/>
        <color theme="0" tint="-0.14999847407452621"/>
        <color rgb="FFF8696B"/>
      </colorScale>
    </cfRule>
  </conditionalFormatting>
  <conditionalFormatting sqref="L19:R32 L36:R49 L53:R66">
    <cfRule type="expression" dxfId="1" priority="2">
      <formula>$K19&lt;$F$13</formula>
    </cfRule>
  </conditionalFormatting>
  <conditionalFormatting sqref="U19:AA32 U36:AA49 U53:AA66">
    <cfRule type="expression" dxfId="0" priority="1">
      <formula>$T19&lt;$H$13</formula>
    </cfRule>
  </conditionalFormatting>
  <dataValidations count="2">
    <dataValidation type="whole" operator="greaterThanOrEqual" allowBlank="1" showInputMessage="1" showErrorMessage="1" sqref="D11:I11" xr:uid="{23DAF941-E646-461B-9162-2148AEA1C280}">
      <formula1>1</formula1>
    </dataValidation>
    <dataValidation type="decimal" operator="greaterThanOrEqual" allowBlank="1" showInputMessage="1" showErrorMessage="1" sqref="B19:B32 M13 C18:I18" xr:uid="{E7FB647C-541A-4DA5-B18D-288D9BD9F0D2}">
      <formula1>0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6199A-5124-45AD-BA8C-F461770C56DD}">
  <dimension ref="A1:B13"/>
  <sheetViews>
    <sheetView showGridLines="0" workbookViewId="0">
      <selection activeCell="C23" sqref="C23"/>
    </sheetView>
  </sheetViews>
  <sheetFormatPr baseColWidth="10" defaultColWidth="8.6640625" defaultRowHeight="15"/>
  <cols>
    <col min="1" max="1" width="24.5" style="35" customWidth="1"/>
    <col min="2" max="2" width="16" style="35" customWidth="1"/>
    <col min="3" max="16384" width="8.6640625" style="35"/>
  </cols>
  <sheetData>
    <row r="1" spans="1:2" ht="18.5" customHeight="1">
      <c r="A1" s="34" t="s">
        <v>15</v>
      </c>
    </row>
    <row r="2" spans="1:2" ht="19" customHeight="1">
      <c r="A2" s="36" t="s">
        <v>16</v>
      </c>
      <c r="B2" s="36" t="s">
        <v>17</v>
      </c>
    </row>
    <row r="3" spans="1:2" ht="19" customHeight="1">
      <c r="A3" s="36" t="s">
        <v>13</v>
      </c>
      <c r="B3" s="38">
        <v>100000</v>
      </c>
    </row>
    <row r="4" spans="1:2" ht="19" customHeight="1">
      <c r="A4" s="36" t="s">
        <v>61</v>
      </c>
      <c r="B4" s="38" t="s">
        <v>27</v>
      </c>
    </row>
    <row r="5" spans="1:2" ht="19" customHeight="1">
      <c r="A5" s="36" t="s">
        <v>14</v>
      </c>
      <c r="B5" s="36" t="s">
        <v>21</v>
      </c>
    </row>
    <row r="6" spans="1:2" ht="19" customHeight="1"/>
    <row r="7" spans="1:2" ht="19" customHeight="1">
      <c r="A7" s="34" t="s">
        <v>45</v>
      </c>
    </row>
    <row r="8" spans="1:2" ht="19" customHeight="1">
      <c r="A8" s="36" t="s">
        <v>18</v>
      </c>
      <c r="B8" s="37" t="s">
        <v>26</v>
      </c>
    </row>
    <row r="9" spans="1:2" ht="19" customHeight="1">
      <c r="A9" s="36" t="s">
        <v>24</v>
      </c>
      <c r="B9" s="36" t="s">
        <v>19</v>
      </c>
    </row>
    <row r="10" spans="1:2" ht="19" customHeight="1">
      <c r="A10" s="36" t="s">
        <v>25</v>
      </c>
      <c r="B10" s="36" t="s">
        <v>20</v>
      </c>
    </row>
    <row r="11" spans="1:2" ht="19" customHeight="1"/>
    <row r="12" spans="1:2" ht="19" customHeight="1">
      <c r="A12" s="34" t="s">
        <v>22</v>
      </c>
    </row>
    <row r="13" spans="1:2" ht="19" customHeight="1">
      <c r="A13" s="36" t="s">
        <v>23</v>
      </c>
      <c r="B13" s="39">
        <v>0.35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8CAEB-A334-4BFC-86C2-850B114C9B13}">
  <dimension ref="A3:C12"/>
  <sheetViews>
    <sheetView showGridLines="0" tabSelected="1" workbookViewId="0"/>
  </sheetViews>
  <sheetFormatPr baseColWidth="10" defaultColWidth="26.5" defaultRowHeight="15"/>
  <cols>
    <col min="1" max="1" width="32.5" customWidth="1"/>
    <col min="2" max="3" width="17.1640625" customWidth="1"/>
  </cols>
  <sheetData>
    <row r="3" spans="1:3" ht="16" thickBot="1">
      <c r="A3" s="40"/>
      <c r="B3" s="41" t="s">
        <v>28</v>
      </c>
      <c r="C3" s="41" t="s">
        <v>29</v>
      </c>
    </row>
    <row r="4" spans="1:3" ht="21" customHeight="1" thickBot="1">
      <c r="A4" s="44" t="s">
        <v>30</v>
      </c>
      <c r="B4" s="42"/>
      <c r="C4" s="42"/>
    </row>
    <row r="5" spans="1:3" ht="21" customHeight="1" thickBot="1">
      <c r="A5" s="44" t="s">
        <v>31</v>
      </c>
      <c r="B5" s="42"/>
      <c r="C5" s="42"/>
    </row>
    <row r="6" spans="1:3" ht="21" customHeight="1" thickBot="1">
      <c r="A6" s="44" t="s">
        <v>32</v>
      </c>
      <c r="B6" s="42"/>
      <c r="C6" s="42"/>
    </row>
    <row r="7" spans="1:3" ht="21" customHeight="1" thickBot="1">
      <c r="A7" s="44" t="s">
        <v>33</v>
      </c>
      <c r="B7" s="42"/>
      <c r="C7" s="42"/>
    </row>
    <row r="8" spans="1:3" ht="21" customHeight="1" thickBot="1">
      <c r="A8" s="44" t="s">
        <v>34</v>
      </c>
      <c r="B8" s="42"/>
      <c r="C8" s="42"/>
    </row>
    <row r="9" spans="1:3" ht="21" customHeight="1" thickBot="1">
      <c r="A9" s="45" t="s">
        <v>35</v>
      </c>
      <c r="B9" s="43"/>
      <c r="C9" s="43"/>
    </row>
    <row r="10" spans="1:3" ht="21" customHeight="1" thickBot="1">
      <c r="A10" s="44" t="s">
        <v>36</v>
      </c>
      <c r="B10" s="42"/>
      <c r="C10" s="42"/>
    </row>
    <row r="11" spans="1:3" ht="21" customHeight="1" thickBot="1">
      <c r="A11" s="45" t="s">
        <v>37</v>
      </c>
      <c r="B11" s="43"/>
      <c r="C11" s="43"/>
    </row>
    <row r="12" spans="1:3" ht="21" customHeight="1" thickBot="1">
      <c r="A12" s="44" t="s">
        <v>38</v>
      </c>
      <c r="B12" s="42"/>
      <c r="C12" s="4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Instructions</vt:lpstr>
      <vt:lpstr>C-D Model</vt:lpstr>
      <vt:lpstr>Initial Parameters</vt:lpstr>
      <vt:lpstr>Contribution Margin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Lev</dc:creator>
  <cp:lastModifiedBy>Fitzgerald, Kathleen</cp:lastModifiedBy>
  <dcterms:created xsi:type="dcterms:W3CDTF">2014-10-26T01:57:07Z</dcterms:created>
  <dcterms:modified xsi:type="dcterms:W3CDTF">2026-04-12T02:26:03Z</dcterms:modified>
</cp:coreProperties>
</file>