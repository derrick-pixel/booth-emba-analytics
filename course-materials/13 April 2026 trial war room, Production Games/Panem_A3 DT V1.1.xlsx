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19800" tabRatio="600" firstSheet="0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-D Model" sheetId="2" state="visible" r:id="rId2"/>
    <sheet xmlns:r="http://schemas.openxmlformats.org/officeDocument/2006/relationships" name="Initial Parameters" sheetId="3" state="visible" r:id="rId3"/>
    <sheet xmlns:r="http://schemas.openxmlformats.org/officeDocument/2006/relationships" name="Contribution Margin Table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Bangladesh_Taxes">'[1]General Assumptions'!$B$8</definedName>
    <definedName name="Business_Manager">'[1](BD) Staff'!$D$5</definedName>
    <definedName name="ConfSwitch">[2]Assumptions!$C$8</definedName>
    <definedName name="Conveyance_Allowance">'[1](BD) Staff'!$D$12</definedName>
    <definedName name="costs_per_show">'[1](US) S&amp;M Karima'!$B$58</definedName>
    <definedName name="Day_Care_Manager">'[1](BD) Staff'!$D$7</definedName>
    <definedName name="Design_Manager">'[1](BD) Staff'!$D$8</definedName>
    <definedName name="Festival_Bonus">'[1](BD) Staff'!$D$14</definedName>
    <definedName name="Hours_per_Worker_per_Week">'[3]Wage Workers'!$B$7</definedName>
    <definedName name="Housing_Allowance">'[1](BD) Staff'!$D$10</definedName>
    <definedName name="Housing_Allowance_per_Month">[3]Staff!$C$9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Medical_Cost">'[1](BD) Staff'!$D$13</definedName>
    <definedName name="Months_per_Year">[4]Assumptions!$CB$3</definedName>
    <definedName name="Production_Manager">'[1](BD) Staff'!$D$6</definedName>
    <definedName name="ProjName">'[5]Control Panel'!$D$7</definedName>
    <definedName name="Retirement_Allowance">'[1](BD) Staff'!$D$11</definedName>
    <definedName name="sale_per_show">'[1](US) S&amp;M Karima'!$B$60</definedName>
    <definedName name="Taka_per_Dollar">'[1]General Assumptions'!$B$5</definedName>
    <definedName name="Wage">'[1](BD) Workers'!$B$4</definedName>
    <definedName name="Weeks_per_Year">'[1]General Assumptions'!$B$7</definedName>
    <definedName name="Workers">'[1](BD) Workers'!$B$19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'C-D Model'!$C$4</definedName>
    <definedName name="solver_lhs10" localSheetId="1" hidden="1">#REF!</definedName>
    <definedName name="solver_lhs11" localSheetId="1" hidden="1">#REF!</definedName>
    <definedName name="solver_lhs12" localSheetId="1" hidden="1">#REF!</definedName>
    <definedName name="solver_lhs2" localSheetId="1" hidden="1">'C-D Model'!$C$4</definedName>
    <definedName name="solver_lhs3" localSheetId="1" hidden="1">'C-D Model'!#REF!</definedName>
    <definedName name="solver_lhs4" localSheetId="1" hidden="1">'C-D Model'!#REF!</definedName>
    <definedName name="solver_lhs5" localSheetId="1" hidden="1">'C-D Model'!$C$5</definedName>
    <definedName name="solver_lhs6" localSheetId="1" hidden="1">'C-D Model'!$C$5</definedName>
    <definedName name="solver_lhs7" localSheetId="1" hidden="1">'C-D Model'!$C$5</definedName>
    <definedName name="solver_lhs8" localSheetId="1" hidden="1">'C-D Model'!$C$5</definedName>
    <definedName name="solver_lhs9" localSheetId="1" hidden="1">#REF!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1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10" localSheetId="1" hidden="1">2</definedName>
    <definedName name="solver_rel11" localSheetId="1" hidden="1">2</definedName>
    <definedName name="solver_rel12" localSheetId="1" hidden="1">2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1" hidden="1">100000</definedName>
    <definedName name="solver_rhs10" localSheetId="1" hidden="1">#REF!</definedName>
    <definedName name="solver_rhs11" localSheetId="1" hidden="1">#REF!</definedName>
    <definedName name="solver_rhs12" localSheetId="1" hidden="1">#REF!</definedName>
    <definedName name="solver_rhs2" localSheetId="1" hidden="1">1</definedName>
    <definedName name="solver_rhs3" localSheetId="1" hidden="1">100000000</definedName>
    <definedName name="solver_rhs4" localSheetId="1" hidden="1">1</definedName>
    <definedName name="solver_rhs5" localSheetId="1" hidden="1">'C-D Model'!$C$6</definedName>
    <definedName name="solver_rhs6" localSheetId="1" hidden="1">'C-D Model'!$C$6</definedName>
    <definedName name="solver_rhs7" localSheetId="1" hidden="1">'C-D Model'!$C$6</definedName>
    <definedName name="solver_rhs8" localSheetId="1" hidden="1">'C-D Model'!$C$6</definedName>
    <definedName name="solver_rhs9" localSheetId="1" hidden="1">#REF!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1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_(* #,##0.000_);_(* \(#,##0.000\);_(* &quot;-&quot;??_);_(@_)"/>
    <numFmt numFmtId="165" formatCode="_(* #,##0_);_(* \(#,##0\);_(* &quot;-&quot;??_);_(@_)"/>
    <numFmt numFmtId="166" formatCode="#,##0%_);[Red]\(#,##0%\)"/>
    <numFmt numFmtId="167" formatCode="&quot;$&quot;#,##0_);[Red]\(&quot;$&quot;#,##0\)"/>
    <numFmt numFmtId="168" formatCode="&quot;$&quot;#,##0"/>
    <numFmt numFmtId="169" formatCode="0\)"/>
    <numFmt numFmtId="170" formatCode="_(&quot;$&quot;* #,##0_);_(&quot;$&quot;* \(#,##0\);_(&quot;$&quot;* &quot;-&quot;??_);_(@_)"/>
    <numFmt numFmtId="171" formatCode="_(* #,##0.0000_);_(* \(#,##0.0000\);_(* &quot;-&quot;??_);_(@_)"/>
    <numFmt numFmtId="172" formatCode="#,##0;\-#,##0;&quot;-&quot;"/>
    <numFmt numFmtId="173" formatCode="#,##0,,_);[Red]\(#,##0,,\);&quot;- &quot;"/>
    <numFmt numFmtId="174" formatCode="#.##000"/>
    <numFmt numFmtId="175" formatCode="0.0%"/>
    <numFmt numFmtId="176" formatCode="_(* #,##0.0_);_(* \(#,##0.0\);_(* &quot;-&quot;??_);_(@_)"/>
    <numFmt numFmtId="177" formatCode="General_)"/>
    <numFmt numFmtId="178" formatCode="$#,##0.00"/>
  </numFmts>
  <fonts count="4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sz val="10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Tahoma"/>
      <family val="2"/>
      <sz val="8"/>
    </font>
    <font>
      <name val="Times"/>
      <family val="1"/>
      <sz val="12"/>
    </font>
    <font>
      <name val="Times New Roman"/>
      <family val="1"/>
      <b val="1"/>
      <color indexed="9"/>
      <sz val="10"/>
    </font>
    <font>
      <name val="Calibri"/>
      <charset val="134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indexed="8"/>
      <sz val="18"/>
    </font>
    <font>
      <name val="Geneva"/>
      <family val="2"/>
      <sz val="10"/>
    </font>
    <font>
      <name val="Arial"/>
      <family val="2"/>
      <sz val="8"/>
    </font>
    <font>
      <name val="Times New Roman"/>
      <family val="1"/>
      <b val="1"/>
      <color indexed="8"/>
      <sz val="26"/>
    </font>
    <font>
      <name val="Tahoma"/>
      <family val="2"/>
      <b val="1"/>
      <color indexed="9"/>
      <sz val="8"/>
    </font>
    <font>
      <name val="Tahoma"/>
      <family val="2"/>
      <b val="1"/>
      <color indexed="8"/>
      <sz val="8"/>
    </font>
    <font>
      <name val="MS Sans Serif"/>
      <family val="2"/>
      <b val="1"/>
      <sz val="8"/>
    </font>
    <font>
      <name val="Geneva"/>
      <family val="2"/>
      <color indexed="12"/>
      <sz val="10"/>
      <u val="single"/>
    </font>
    <font>
      <name val="Courier"/>
      <family val="3"/>
      <color indexed="8"/>
      <sz val="10"/>
    </font>
    <font>
      <name val="Calibri"/>
      <charset val="178"/>
      <family val="2"/>
      <color theme="1"/>
      <sz val="11"/>
      <scheme val="minor"/>
    </font>
    <font>
      <name val="Arial"/>
      <family val="2"/>
      <color rgb="FF000000"/>
      <sz val="10"/>
    </font>
    <font>
      <name val="Times New Roman"/>
      <family val="1"/>
      <b val="1"/>
      <color indexed="8"/>
      <sz val="24"/>
    </font>
    <font>
      <name val="Times New Roman"/>
      <family val="1"/>
      <sz val="8"/>
    </font>
    <font>
      <name val="Wingdings"/>
      <charset val="2"/>
      <sz val="8"/>
    </font>
    <font>
      <name val="Helvetica"/>
      <family val="2"/>
      <sz val="8"/>
    </font>
    <font>
      <name val="MS Sans Serif"/>
      <family val="2"/>
      <sz val="8"/>
    </font>
    <font>
      <name val="Helvetica"/>
      <family val="2"/>
      <b val="1"/>
      <color indexed="8"/>
      <sz val="8"/>
    </font>
    <font>
      <name val="Times New Roman"/>
      <family val="1"/>
      <b val="1"/>
      <sz val="10"/>
    </font>
    <font>
      <name val="Arial"/>
      <family val="2"/>
      <color indexed="8"/>
      <sz val="8"/>
      <u val="double"/>
    </font>
    <font>
      <name val="Wingdings"/>
      <charset val="2"/>
      <b val="1"/>
      <color indexed="10"/>
      <sz val="9"/>
    </font>
    <font>
      <name val="宋体"/>
      <charset val="134"/>
      <sz val="12"/>
    </font>
    <font>
      <name val="Arial"/>
      <family val="2"/>
      <i val="1"/>
      <sz val="10"/>
    </font>
    <font>
      <name val="Arial"/>
      <family val="2"/>
      <i val="1"/>
      <sz val="10"/>
      <vertAlign val="superscript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name val="Arial"/>
      <family val="2"/>
      <b val="1"/>
      <color rgb="FF0033CC"/>
      <sz val="10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1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1"/>
      <vertAlign val="subscript"/>
      <scheme val="minor"/>
    </font>
    <font>
      <name val="Arial"/>
      <family val="2"/>
      <b val="1"/>
      <color theme="0"/>
      <sz val="10"/>
      <vertAlign val="subscript"/>
    </font>
    <font>
      <b val="1"/>
    </font>
    <font>
      <i val="1"/>
      <sz val="9"/>
    </font>
  </fonts>
  <fills count="1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DDDDD"/>
        <bgColor rgb="00DDDDDD"/>
      </patternFill>
    </fill>
  </fills>
  <borders count="6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auto="1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46592608417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"/>
      </top>
      <bottom style="medium">
        <color indexed="64"/>
      </bottom>
      <diagonal/>
    </border>
    <border>
      <left style="thin">
        <color auto="1"/>
      </left>
      <right style="thin">
        <color theme="0" tint="-0.249946592608417"/>
      </right>
      <top/>
      <bottom/>
      <diagonal/>
    </border>
    <border>
      <left style="thin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auto="1"/>
      </left>
      <right style="thin">
        <color theme="0" tint="-0.3499862666707358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3499862666707358"/>
      </bottom>
      <diagonal/>
    </border>
    <border>
      <left style="thin">
        <color auto="1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auto="1"/>
      </left>
      <right style="thin">
        <color auto="1"/>
      </right>
      <top style="thin">
        <color theme="0" tint="-0.3499862666707358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0" tint="-0.249946592608417"/>
      </left>
      <right style="thin">
        <color indexed="64"/>
      </right>
      <top/>
      <bottom/>
      <diagonal/>
    </border>
    <border>
      <left style="thin">
        <color theme="0" tint="-0.249946592608417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theme="0" tint="-0.249946592608417"/>
      </right>
      <top style="thin">
        <color auto="1"/>
      </top>
      <bottom/>
      <diagonal/>
    </border>
    <border>
      <left style="thin">
        <color theme="0" tint="-0.249946592608417"/>
      </left>
      <right style="thin">
        <color indexed="64"/>
      </right>
      <top style="thin">
        <color auto="1"/>
      </top>
      <bottom/>
      <diagonal/>
    </border>
    <border>
      <left/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indexed="64"/>
      </bottom>
      <diagonal/>
    </border>
    <border>
      <left style="thin">
        <color auto="1"/>
      </left>
      <right style="thin">
        <color theme="0" tint="-0.0499893185216834"/>
      </right>
      <top style="thin">
        <color auto="1"/>
      </top>
      <bottom style="thin">
        <color auto="1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auto="1"/>
      </top>
      <bottom style="thin">
        <color auto="1"/>
      </bottom>
      <diagonal/>
    </border>
    <border>
      <left style="thin">
        <color theme="0" tint="-0.049989318521683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0" tint="-0.249946592608417"/>
      </right>
      <top style="thin">
        <color auto="1"/>
      </top>
      <bottom/>
      <diagonal/>
    </border>
    <border>
      <left/>
      <right style="thin">
        <color theme="0" tint="-0.0499893185216834"/>
      </right>
      <top style="thin">
        <color auto="1"/>
      </top>
      <bottom/>
      <diagonal/>
    </border>
    <border>
      <left/>
      <right style="thin">
        <color theme="0" tint="-0.049989318521683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249946592608417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136">
    <xf numFmtId="0" fontId="1" fillId="0" borderId="0"/>
    <xf numFmtId="43" fontId="1" fillId="0" borderId="0"/>
    <xf numFmtId="44" fontId="1" fillId="0" borderId="0"/>
    <xf numFmtId="0" fontId="3" fillId="0" borderId="0"/>
    <xf numFmtId="0" fontId="4" fillId="0" borderId="0"/>
    <xf numFmtId="37" fontId="5" fillId="4" borderId="5" applyAlignment="1">
      <alignment vertical="center"/>
    </xf>
    <xf numFmtId="0" fontId="6" fillId="0" borderId="0"/>
    <xf numFmtId="172" fontId="7" fillId="0" borderId="0"/>
    <xf numFmtId="43" fontId="4" fillId="0" borderId="0"/>
    <xf numFmtId="43" fontId="8" fillId="0" borderId="0"/>
    <xf numFmtId="43" fontId="3" fillId="0" borderId="0"/>
    <xf numFmtId="43" fontId="3" fillId="0" borderId="0"/>
    <xf numFmtId="43" fontId="3" fillId="0" borderId="0"/>
    <xf numFmtId="43" fontId="4" fillId="0" borderId="0"/>
    <xf numFmtId="43" fontId="4" fillId="0" borderId="0"/>
    <xf numFmtId="43" fontId="9" fillId="0" borderId="0"/>
    <xf numFmtId="43" fontId="4" fillId="0" borderId="0"/>
    <xf numFmtId="5" fontId="10" fillId="5" borderId="0" applyAlignment="1">
      <alignment horizontal="right" vertical="center"/>
    </xf>
    <xf numFmtId="44" fontId="4" fillId="0" borderId="0"/>
    <xf numFmtId="44" fontId="3" fillId="0" borderId="0"/>
    <xf numFmtId="44" fontId="11" fillId="0" borderId="0"/>
    <xf numFmtId="38" fontId="12" fillId="6" borderId="0"/>
    <xf numFmtId="0" fontId="13" fillId="7" borderId="0" applyAlignment="1">
      <alignment vertical="center"/>
    </xf>
    <xf numFmtId="37" fontId="14" fillId="8" borderId="3" applyAlignment="1">
      <alignment horizontal="left" vertical="center" indent="1"/>
    </xf>
    <xf numFmtId="37" fontId="14" fillId="8" borderId="3" applyAlignment="1">
      <alignment horizontal="left" vertical="center" indent="1"/>
    </xf>
    <xf numFmtId="37" fontId="15" fillId="0" borderId="8" applyAlignment="1">
      <alignment vertical="center"/>
    </xf>
    <xf numFmtId="0" fontId="15" fillId="9" borderId="9" applyAlignment="1">
      <alignment horizontal="left" vertical="top" indent="1"/>
    </xf>
    <xf numFmtId="0" fontId="15" fillId="4" borderId="0" applyAlignment="1">
      <alignment horizontal="left" vertical="center" indent="1"/>
    </xf>
    <xf numFmtId="0" fontId="15" fillId="0" borderId="9" applyAlignment="1">
      <alignment horizontal="centerContinuous" vertical="top"/>
    </xf>
    <xf numFmtId="0" fontId="16" fillId="0" borderId="9" applyAlignment="1">
      <alignment horizontal="center"/>
    </xf>
    <xf numFmtId="0" fontId="16" fillId="0" borderId="0" applyAlignment="1">
      <alignment horizontal="center"/>
    </xf>
    <xf numFmtId="0" fontId="17" fillId="0" borderId="0" applyAlignment="1" applyProtection="1">
      <alignment vertical="top"/>
      <protection locked="0" hidden="0"/>
    </xf>
    <xf numFmtId="10" fontId="12" fillId="10" borderId="2"/>
    <xf numFmtId="173" fontId="18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4" fillId="0" borderId="0"/>
    <xf numFmtId="0" fontId="9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4" fillId="0" borderId="0"/>
    <xf numFmtId="0" fontId="4" fillId="0" borderId="0"/>
    <xf numFmtId="0" fontId="1" fillId="0" borderId="0"/>
    <xf numFmtId="174" fontId="1" fillId="0" borderId="0"/>
    <xf numFmtId="0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4" fillId="0" borderId="0"/>
    <xf numFmtId="0" fontId="1" fillId="0" borderId="0"/>
    <xf numFmtId="174" fontId="1" fillId="0" borderId="0"/>
    <xf numFmtId="174" fontId="1" fillId="0" borderId="0"/>
    <xf numFmtId="174" fontId="19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6" fontId="1" fillId="0" borderId="0"/>
    <xf numFmtId="176" fontId="1" fillId="0" borderId="0"/>
    <xf numFmtId="176" fontId="1" fillId="0" borderId="0"/>
    <xf numFmtId="0" fontId="4" fillId="0" borderId="0"/>
    <xf numFmtId="0" fontId="4" fillId="0" borderId="0"/>
    <xf numFmtId="174" fontId="1" fillId="0" borderId="0"/>
    <xf numFmtId="174" fontId="1" fillId="0" borderId="0"/>
    <xf numFmtId="174" fontId="1" fillId="0" borderId="0"/>
    <xf numFmtId="0" fontId="4" fillId="0" borderId="0"/>
    <xf numFmtId="174" fontId="1" fillId="0" borderId="0"/>
    <xf numFmtId="174" fontId="1" fillId="0" borderId="0"/>
    <xf numFmtId="174" fontId="1" fillId="0" borderId="0"/>
    <xf numFmtId="0" fontId="4" fillId="0" borderId="0"/>
    <xf numFmtId="174" fontId="1" fillId="0" borderId="0"/>
    <xf numFmtId="0" fontId="4" fillId="0" borderId="0"/>
    <xf numFmtId="0" fontId="4" fillId="0" borderId="0"/>
    <xf numFmtId="0" fontId="4" fillId="0" borderId="0"/>
    <xf numFmtId="174" fontId="1" fillId="0" borderId="0"/>
    <xf numFmtId="0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5" fontId="18" fillId="5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9" fillId="0" borderId="0"/>
    <xf numFmtId="174" fontId="1" fillId="0" borderId="0"/>
    <xf numFmtId="0" fontId="4" fillId="0" borderId="0"/>
    <xf numFmtId="0" fontId="11" fillId="0" borderId="0"/>
    <xf numFmtId="0" fontId="9" fillId="0" borderId="0"/>
    <xf numFmtId="0" fontId="20" fillId="0" borderId="0"/>
    <xf numFmtId="177" fontId="21" fillId="0" borderId="0" applyAlignment="1">
      <alignment horizontal="left" vertical="center"/>
    </xf>
    <xf numFmtId="14" fontId="22" fillId="0" borderId="0" applyAlignment="1" applyProtection="1">
      <alignment horizontal="center" wrapText="1"/>
      <protection locked="0" hidden="0"/>
    </xf>
    <xf numFmtId="10" fontId="4" fillId="0" borderId="0"/>
    <xf numFmtId="9" fontId="4" fillId="0" borderId="0"/>
    <xf numFmtId="9" fontId="8" fillId="0" borderId="0"/>
    <xf numFmtId="9" fontId="3" fillId="0" borderId="0"/>
    <xf numFmtId="9" fontId="3" fillId="0" borderId="0"/>
    <xf numFmtId="9" fontId="4" fillId="0" borderId="0"/>
    <xf numFmtId="9" fontId="4" fillId="0" borderId="0"/>
    <xf numFmtId="9" fontId="11" fillId="0" borderId="0"/>
    <xf numFmtId="0" fontId="23" fillId="11" borderId="0" applyAlignment="1">
      <alignment horizontal="center"/>
    </xf>
    <xf numFmtId="14" fontId="24" fillId="0" borderId="0" applyAlignment="1">
      <alignment horizontal="left"/>
    </xf>
    <xf numFmtId="0" fontId="25" fillId="0" borderId="0" applyAlignment="1">
      <alignment horizontal="center"/>
    </xf>
    <xf numFmtId="40" fontId="26" fillId="0" borderId="0" applyAlignment="1">
      <alignment horizontal="right"/>
    </xf>
    <xf numFmtId="0" fontId="27" fillId="0" borderId="0" applyAlignment="1">
      <alignment horizontal="centerContinuous"/>
    </xf>
    <xf numFmtId="0" fontId="28" fillId="0" borderId="0" applyAlignment="1">
      <alignment horizontal="fill"/>
    </xf>
    <xf numFmtId="0" fontId="29" fillId="6" borderId="0" applyAlignment="1">
      <alignment horizontal="center"/>
    </xf>
    <xf numFmtId="0" fontId="30" fillId="0" borderId="0"/>
  </cellStyleXfs>
  <cellXfs count="166">
    <xf numFmtId="0" fontId="0" fillId="0" borderId="0" pivotButton="0" quotePrefix="0" xfId="0"/>
    <xf numFmtId="0" fontId="33" fillId="0" borderId="0" pivotButton="0" quotePrefix="0" xfId="0"/>
    <xf numFmtId="0" fontId="33" fillId="0" borderId="0" applyAlignment="1" pivotButton="0" quotePrefix="0" xfId="0">
      <alignment vertical="center"/>
    </xf>
    <xf numFmtId="164" fontId="33" fillId="0" borderId="11" applyAlignment="1" pivotButton="0" quotePrefix="0" xfId="1">
      <alignment horizontal="right" vertical="center"/>
    </xf>
    <xf numFmtId="164" fontId="33" fillId="0" borderId="12" applyAlignment="1" pivotButton="0" quotePrefix="0" xfId="1">
      <alignment horizontal="right" vertical="center"/>
    </xf>
    <xf numFmtId="164" fontId="33" fillId="0" borderId="14" applyAlignment="1" pivotButton="0" quotePrefix="0" xfId="1">
      <alignment horizontal="right" vertical="center"/>
    </xf>
    <xf numFmtId="164" fontId="33" fillId="0" borderId="15" applyAlignment="1" pivotButton="0" quotePrefix="0" xfId="1">
      <alignment horizontal="right" vertical="center"/>
    </xf>
    <xf numFmtId="164" fontId="33" fillId="0" borderId="17" applyAlignment="1" pivotButton="0" quotePrefix="0" xfId="1">
      <alignment horizontal="right" vertical="center"/>
    </xf>
    <xf numFmtId="164" fontId="33" fillId="0" borderId="18" applyAlignment="1" pivotButton="0" quotePrefix="0" xfId="1">
      <alignment horizontal="right" vertical="center"/>
    </xf>
    <xf numFmtId="43" fontId="33" fillId="0" borderId="10" applyAlignment="1" pivotButton="0" quotePrefix="0" xfId="1">
      <alignment horizontal="right" vertical="center"/>
    </xf>
    <xf numFmtId="43" fontId="33" fillId="0" borderId="11" applyAlignment="1" pivotButton="0" quotePrefix="0" xfId="1">
      <alignment horizontal="right" vertical="center"/>
    </xf>
    <xf numFmtId="43" fontId="33" fillId="0" borderId="12" applyAlignment="1" pivotButton="0" quotePrefix="0" xfId="1">
      <alignment horizontal="right" vertical="center"/>
    </xf>
    <xf numFmtId="43" fontId="33" fillId="0" borderId="13" applyAlignment="1" pivotButton="0" quotePrefix="0" xfId="1">
      <alignment horizontal="right" vertical="center"/>
    </xf>
    <xf numFmtId="43" fontId="33" fillId="0" borderId="14" applyAlignment="1" pivotButton="0" quotePrefix="0" xfId="1">
      <alignment horizontal="right" vertical="center"/>
    </xf>
    <xf numFmtId="43" fontId="33" fillId="0" borderId="15" applyAlignment="1" pivotButton="0" quotePrefix="0" xfId="1">
      <alignment horizontal="right" vertical="center"/>
    </xf>
    <xf numFmtId="43" fontId="33" fillId="0" borderId="16" applyAlignment="1" pivotButton="0" quotePrefix="0" xfId="1">
      <alignment horizontal="right" vertical="center"/>
    </xf>
    <xf numFmtId="43" fontId="33" fillId="0" borderId="17" applyAlignment="1" pivotButton="0" quotePrefix="0" xfId="1">
      <alignment horizontal="right" vertical="center"/>
    </xf>
    <xf numFmtId="43" fontId="33" fillId="0" borderId="18" applyAlignment="1" pivotButton="0" quotePrefix="0" xfId="1">
      <alignment horizontal="right" vertical="center"/>
    </xf>
    <xf numFmtId="0" fontId="34" fillId="13" borderId="5" applyAlignment="1" pivotButton="0" quotePrefix="0" xfId="0">
      <alignment horizontal="right" vertical="center"/>
    </xf>
    <xf numFmtId="164" fontId="33" fillId="0" borderId="20" applyAlignment="1" pivotButton="0" quotePrefix="0" xfId="1">
      <alignment horizontal="right" vertical="center"/>
    </xf>
    <xf numFmtId="164" fontId="33" fillId="0" borderId="21" applyAlignment="1" pivotButton="0" quotePrefix="0" xfId="1">
      <alignment horizontal="right" vertical="center"/>
    </xf>
    <xf numFmtId="164" fontId="33" fillId="0" borderId="22" applyAlignment="1" pivotButton="0" quotePrefix="0" xfId="1">
      <alignment horizontal="right" vertical="center"/>
    </xf>
    <xf numFmtId="165" fontId="4" fillId="2" borderId="2" applyAlignment="1" applyProtection="1" pivotButton="0" quotePrefix="0" xfId="0">
      <alignment vertical="center"/>
      <protection locked="0" hidden="0"/>
    </xf>
    <xf numFmtId="0" fontId="33" fillId="3" borderId="3" applyAlignment="1" pivotButton="0" quotePrefix="0" xfId="0">
      <alignment vertical="center"/>
    </xf>
    <xf numFmtId="0" fontId="33" fillId="3" borderId="0" applyAlignment="1" pivotButton="0" quotePrefix="0" xfId="0">
      <alignment vertical="center"/>
    </xf>
    <xf numFmtId="166" fontId="33" fillId="0" borderId="0" pivotButton="0" quotePrefix="0" xfId="0"/>
    <xf numFmtId="43" fontId="33" fillId="0" borderId="0" pivotButton="0" quotePrefix="0" xfId="1"/>
    <xf numFmtId="0" fontId="36" fillId="0" borderId="0" pivotButton="0" quotePrefix="0" xfId="0"/>
    <xf numFmtId="165" fontId="35" fillId="14" borderId="31" applyAlignment="1" pivotButton="0" quotePrefix="0" xfId="1">
      <alignment horizontal="right" vertical="center"/>
    </xf>
    <xf numFmtId="165" fontId="35" fillId="14" borderId="32" applyAlignment="1" pivotButton="0" quotePrefix="0" xfId="1">
      <alignment horizontal="right" vertical="center"/>
    </xf>
    <xf numFmtId="165" fontId="35" fillId="14" borderId="33" applyAlignment="1" pivotButton="0" quotePrefix="0" xfId="1">
      <alignment horizontal="right" vertical="center"/>
    </xf>
    <xf numFmtId="165" fontId="35" fillId="14" borderId="34" applyAlignment="1" pivotButton="0" quotePrefix="0" xfId="1">
      <alignment horizontal="right" vertical="center"/>
    </xf>
    <xf numFmtId="165" fontId="35" fillId="14" borderId="35" applyAlignment="1" pivotButton="0" quotePrefix="0" xfId="1">
      <alignment horizontal="right" vertical="center"/>
    </xf>
    <xf numFmtId="165" fontId="35" fillId="14" borderId="36" applyAlignment="1" pivotButton="0" quotePrefix="0" xfId="1">
      <alignment horizontal="right" vertical="center"/>
    </xf>
    <xf numFmtId="0" fontId="3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168" fontId="0" fillId="0" borderId="2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0" fontId="39" fillId="0" borderId="0" applyAlignment="1" pivotButton="0" quotePrefix="0" xfId="0">
      <alignment horizontal="justify" vertical="center" wrapText="1"/>
    </xf>
    <xf numFmtId="0" fontId="39" fillId="0" borderId="9" applyAlignment="1" pivotButton="0" quotePrefix="0" xfId="0">
      <alignment horizontal="center" vertical="center" wrapText="1"/>
    </xf>
    <xf numFmtId="0" fontId="39" fillId="0" borderId="45" applyAlignment="1" pivotButton="0" quotePrefix="0" xfId="0">
      <alignment horizontal="justify" vertical="center" wrapText="1"/>
    </xf>
    <xf numFmtId="0" fontId="39" fillId="0" borderId="46" applyAlignment="1" pivotButton="0" quotePrefix="0" xfId="0">
      <alignment horizontal="justify" vertical="center" wrapText="1"/>
    </xf>
    <xf numFmtId="0" fontId="39" fillId="0" borderId="44" applyAlignment="1" pivotButton="0" quotePrefix="0" xfId="0">
      <alignment horizontal="left" vertical="center" wrapText="1"/>
    </xf>
    <xf numFmtId="0" fontId="39" fillId="0" borderId="46" applyAlignment="1" pivotButton="0" quotePrefix="0" xfId="0">
      <alignment horizontal="left" vertical="center" wrapText="1"/>
    </xf>
    <xf numFmtId="0" fontId="38" fillId="0" borderId="0" pivotButton="0" quotePrefix="0" xfId="0"/>
    <xf numFmtId="0" fontId="41" fillId="0" borderId="0" pivotButton="0" quotePrefix="0" xfId="0"/>
    <xf numFmtId="169" fontId="0" fillId="0" borderId="0" pivotButton="0" quotePrefix="0" xfId="0"/>
    <xf numFmtId="165" fontId="37" fillId="15" borderId="23" applyAlignment="1" applyProtection="1" pivotButton="0" quotePrefix="0" xfId="1">
      <alignment horizontal="right" vertical="center"/>
      <protection locked="0" hidden="0"/>
    </xf>
    <xf numFmtId="165" fontId="37" fillId="15" borderId="24" applyAlignment="1" applyProtection="1" pivotButton="0" quotePrefix="0" xfId="1">
      <alignment horizontal="right" vertical="center"/>
      <protection locked="0" hidden="0"/>
    </xf>
    <xf numFmtId="165" fontId="37" fillId="15" borderId="25" applyAlignment="1" applyProtection="1" pivotButton="0" quotePrefix="0" xfId="1">
      <alignment horizontal="right" vertical="center"/>
      <protection locked="0" hidden="0"/>
    </xf>
    <xf numFmtId="165" fontId="37" fillId="15" borderId="26" applyAlignment="1" applyProtection="1" pivotButton="0" quotePrefix="0" xfId="1">
      <alignment horizontal="right" vertical="center"/>
      <protection locked="0" hidden="0"/>
    </xf>
    <xf numFmtId="165" fontId="37" fillId="15" borderId="27" applyAlignment="1" applyProtection="1" pivotButton="0" quotePrefix="0" xfId="1">
      <alignment horizontal="right" vertical="center"/>
      <protection locked="0" hidden="0"/>
    </xf>
    <xf numFmtId="165" fontId="37" fillId="15" borderId="28" applyAlignment="1" applyProtection="1" pivotButton="0" quotePrefix="0" xfId="1">
      <alignment horizontal="right" vertical="center"/>
      <protection locked="0" hidden="0"/>
    </xf>
    <xf numFmtId="170" fontId="37" fillId="15" borderId="19" applyAlignment="1" applyProtection="1" pivotButton="0" quotePrefix="0" xfId="2">
      <alignment vertical="center"/>
      <protection locked="0" hidden="0"/>
    </xf>
    <xf numFmtId="0" fontId="34" fillId="13" borderId="5" applyAlignment="1" pivotButton="0" quotePrefix="0" xfId="0">
      <alignment horizontal="center" vertical="center"/>
    </xf>
    <xf numFmtId="0" fontId="34" fillId="13" borderId="6" applyAlignment="1" pivotButton="0" quotePrefix="0" xfId="0">
      <alignment horizontal="center" vertical="center"/>
    </xf>
    <xf numFmtId="0" fontId="34" fillId="13" borderId="7" applyAlignment="1" pivotButton="0" quotePrefix="0" xfId="0">
      <alignment horizontal="center" vertical="center"/>
    </xf>
    <xf numFmtId="0" fontId="34" fillId="12" borderId="5" applyAlignment="1" pivotButton="0" quotePrefix="0" xfId="0">
      <alignment horizontal="center" vertical="center"/>
    </xf>
    <xf numFmtId="0" fontId="34" fillId="12" borderId="6" applyAlignment="1" pivotButton="0" quotePrefix="0" xfId="0">
      <alignment horizontal="center" vertical="center"/>
    </xf>
    <xf numFmtId="0" fontId="34" fillId="12" borderId="7" applyAlignment="1" pivotButton="0" quotePrefix="0" xfId="0">
      <alignment horizontal="center" vertical="center"/>
    </xf>
    <xf numFmtId="0" fontId="35" fillId="3" borderId="4" applyAlignment="1" pivotButton="0" quotePrefix="0" xfId="0">
      <alignment horizontal="right" vertical="center"/>
    </xf>
    <xf numFmtId="0" fontId="35" fillId="3" borderId="1" applyAlignment="1" pivotButton="0" quotePrefix="0" xfId="0">
      <alignment horizontal="right" vertical="center"/>
    </xf>
    <xf numFmtId="170" fontId="4" fillId="2" borderId="30" applyAlignment="1" applyProtection="1" pivotButton="0" quotePrefix="0" xfId="2">
      <alignment horizontal="center" vertical="center"/>
      <protection locked="0" hidden="0"/>
    </xf>
    <xf numFmtId="170" fontId="4" fillId="2" borderId="39" applyAlignment="1" applyProtection="1" pivotButton="0" quotePrefix="0" xfId="2">
      <alignment horizontal="center" vertical="center"/>
      <protection locked="0" hidden="0"/>
    </xf>
    <xf numFmtId="0" fontId="35" fillId="3" borderId="5" applyAlignment="1" pivotButton="0" quotePrefix="0" xfId="0">
      <alignment horizontal="right" vertical="center" indent="1"/>
    </xf>
    <xf numFmtId="0" fontId="35" fillId="3" borderId="37" applyAlignment="1" pivotButton="0" quotePrefix="0" xfId="0">
      <alignment horizontal="right" vertical="center" indent="1"/>
    </xf>
    <xf numFmtId="0" fontId="33" fillId="2" borderId="29" applyAlignment="1" pivotButton="0" quotePrefix="0" xfId="0">
      <alignment horizontal="center" vertical="center"/>
    </xf>
    <xf numFmtId="0" fontId="33" fillId="2" borderId="38" applyAlignment="1" pivotButton="0" quotePrefix="0" xfId="0">
      <alignment horizontal="center" vertical="center"/>
    </xf>
    <xf numFmtId="43" fontId="4" fillId="2" borderId="29" applyAlignment="1" applyProtection="1" pivotButton="0" quotePrefix="0" xfId="1">
      <alignment horizontal="center" vertical="center"/>
      <protection locked="0" hidden="0"/>
    </xf>
    <xf numFmtId="43" fontId="4" fillId="2" borderId="38" applyAlignment="1" applyProtection="1" pivotButton="0" quotePrefix="0" xfId="1">
      <alignment horizontal="center" vertical="center"/>
      <protection locked="0" hidden="0"/>
    </xf>
    <xf numFmtId="165" fontId="37" fillId="15" borderId="51" applyAlignment="1" applyProtection="1" pivotButton="0" quotePrefix="0" xfId="1">
      <alignment horizontal="center" vertical="center"/>
      <protection locked="0" hidden="0"/>
    </xf>
    <xf numFmtId="165" fontId="37" fillId="15" borderId="52" applyAlignment="1" applyProtection="1" pivotButton="0" quotePrefix="0" xfId="1">
      <alignment horizontal="center" vertical="center"/>
      <protection locked="0" hidden="0"/>
    </xf>
    <xf numFmtId="0" fontId="35" fillId="3" borderId="3" applyAlignment="1" pivotButton="0" quotePrefix="0" xfId="0">
      <alignment horizontal="right" vertical="center"/>
    </xf>
    <xf numFmtId="0" fontId="35" fillId="3" borderId="0" applyAlignment="1" pivotButton="0" quotePrefix="0" xfId="0">
      <alignment horizontal="right" vertical="center"/>
    </xf>
    <xf numFmtId="0" fontId="35" fillId="3" borderId="7" applyAlignment="1" pivotButton="0" quotePrefix="0" xfId="0">
      <alignment horizontal="right" vertical="center" indent="1"/>
    </xf>
    <xf numFmtId="0" fontId="34" fillId="12" borderId="47" applyAlignment="1" pivotButton="0" quotePrefix="0" xfId="0">
      <alignment horizontal="center" vertical="center" wrapText="1"/>
    </xf>
    <xf numFmtId="0" fontId="34" fillId="12" borderId="48" applyAlignment="1" pivotButton="0" quotePrefix="0" xfId="0">
      <alignment horizontal="center" vertical="center" wrapText="1"/>
    </xf>
    <xf numFmtId="0" fontId="31" fillId="14" borderId="5" applyAlignment="1" pivotButton="0" quotePrefix="0" xfId="0">
      <alignment horizontal="center" vertical="center"/>
    </xf>
    <xf numFmtId="0" fontId="31" fillId="14" borderId="6" applyAlignment="1" pivotButton="0" quotePrefix="0" xfId="0">
      <alignment horizontal="center" vertical="center"/>
    </xf>
    <xf numFmtId="0" fontId="31" fillId="14" borderId="7" applyAlignment="1" pivotButton="0" quotePrefix="0" xfId="0">
      <alignment horizontal="center" vertical="center"/>
    </xf>
    <xf numFmtId="0" fontId="35" fillId="3" borderId="40" applyAlignment="1" pivotButton="0" quotePrefix="0" xfId="0">
      <alignment horizontal="right" vertical="center"/>
    </xf>
    <xf numFmtId="0" fontId="35" fillId="3" borderId="41" applyAlignment="1" pivotButton="0" quotePrefix="0" xfId="0">
      <alignment horizontal="right" vertical="center"/>
    </xf>
    <xf numFmtId="171" fontId="4" fillId="2" borderId="42" applyAlignment="1" applyProtection="1" pivotButton="0" quotePrefix="0" xfId="1">
      <alignment horizontal="center" vertical="center"/>
      <protection locked="0" hidden="0"/>
    </xf>
    <xf numFmtId="171" fontId="4" fillId="2" borderId="43" applyAlignment="1" applyProtection="1" pivotButton="0" quotePrefix="0" xfId="1">
      <alignment horizontal="center" vertical="center"/>
      <protection locked="0" hidden="0"/>
    </xf>
    <xf numFmtId="0" fontId="34" fillId="12" borderId="49" applyAlignment="1" pivotButton="0" quotePrefix="0" xfId="0">
      <alignment horizontal="center" vertical="center" wrapText="1"/>
    </xf>
    <xf numFmtId="171" fontId="4" fillId="2" borderId="50" applyAlignment="1" applyProtection="1" pivotButton="0" quotePrefix="0" xfId="1">
      <alignment horizontal="center" vertical="center"/>
      <protection locked="0" hidden="0"/>
    </xf>
    <xf numFmtId="43" fontId="4" fillId="2" borderId="29" applyAlignment="1" pivotButton="0" quotePrefix="0" xfId="1">
      <alignment horizontal="center" vertical="center"/>
    </xf>
    <xf numFmtId="43" fontId="4" fillId="2" borderId="38" applyAlignment="1" pivotButton="0" quotePrefix="0" xfId="1">
      <alignment horizontal="center" vertical="center"/>
    </xf>
    <xf numFmtId="169" fontId="0" fillId="0" borderId="0" pivotButton="0" quotePrefix="0" xfId="0"/>
    <xf numFmtId="0" fontId="0" fillId="0" borderId="57" pivotButton="0" quotePrefix="0" xfId="0"/>
    <xf numFmtId="0" fontId="31" fillId="14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41" pivotButton="0" quotePrefix="0" xfId="0"/>
    <xf numFmtId="171" fontId="4" fillId="2" borderId="42" applyAlignment="1" applyProtection="1" pivotButton="0" quotePrefix="0" xfId="1">
      <alignment horizontal="center" vertical="center"/>
      <protection locked="0" hidden="0"/>
    </xf>
    <xf numFmtId="0" fontId="0" fillId="0" borderId="55" applyProtection="1" pivotButton="0" quotePrefix="0" xfId="0">
      <protection locked="0" hidden="0"/>
    </xf>
    <xf numFmtId="171" fontId="4" fillId="2" borderId="50" applyAlignment="1" applyProtection="1" pivotButton="0" quotePrefix="0" xfId="1">
      <alignment horizontal="center" vertical="center"/>
      <protection locked="0" hidden="0"/>
    </xf>
    <xf numFmtId="0" fontId="0" fillId="0" borderId="54" applyProtection="1" pivotButton="0" quotePrefix="0" xfId="0">
      <protection locked="0" hidden="0"/>
    </xf>
    <xf numFmtId="0" fontId="0" fillId="0" borderId="53" applyProtection="1" pivotButton="0" quotePrefix="0" xfId="0">
      <protection locked="0" hidden="0"/>
    </xf>
    <xf numFmtId="0" fontId="0" fillId="0" borderId="53" pivotButton="0" quotePrefix="0" xfId="0"/>
    <xf numFmtId="0" fontId="35" fillId="3" borderId="2" applyAlignment="1" pivotButton="0" quotePrefix="0" xfId="0">
      <alignment horizontal="right" vertical="center" indent="1"/>
    </xf>
    <xf numFmtId="165" fontId="4" fillId="2" borderId="2" applyAlignment="1" applyProtection="1" pivotButton="0" quotePrefix="0" xfId="0">
      <alignment vertical="center"/>
      <protection locked="0" hidden="0"/>
    </xf>
    <xf numFmtId="165" fontId="37" fillId="15" borderId="19" applyAlignment="1" applyProtection="1" pivotButton="0" quotePrefix="0" xfId="1">
      <alignment horizontal="center" vertical="center"/>
      <protection locked="0" hidden="0"/>
    </xf>
    <xf numFmtId="0" fontId="0" fillId="0" borderId="52" applyProtection="1" pivotButton="0" quotePrefix="0" xfId="0">
      <protection locked="0" hidden="0"/>
    </xf>
    <xf numFmtId="0" fontId="0" fillId="0" borderId="1" pivotButton="0" quotePrefix="0" xfId="0"/>
    <xf numFmtId="170" fontId="4" fillId="2" borderId="30" applyAlignment="1" applyProtection="1" pivotButton="0" quotePrefix="0" xfId="2">
      <alignment horizontal="center" vertical="center"/>
      <protection locked="0" hidden="0"/>
    </xf>
    <xf numFmtId="0" fontId="0" fillId="0" borderId="60" applyProtection="1" pivotButton="0" quotePrefix="0" xfId="0">
      <protection locked="0" hidden="0"/>
    </xf>
    <xf numFmtId="0" fontId="35" fillId="3" borderId="61" applyAlignment="1" pivotButton="0" quotePrefix="0" xfId="0">
      <alignment horizontal="right" vertical="center" indent="1"/>
    </xf>
    <xf numFmtId="0" fontId="0" fillId="0" borderId="37" pivotButton="0" quotePrefix="0" xfId="0"/>
    <xf numFmtId="170" fontId="37" fillId="15" borderId="19" applyAlignment="1" applyProtection="1" pivotButton="0" quotePrefix="0" xfId="2">
      <alignment vertical="center"/>
      <protection locked="0" hidden="0"/>
    </xf>
    <xf numFmtId="0" fontId="34" fillId="12" borderId="2" applyAlignment="1" pivotButton="0" quotePrefix="0" xfId="0">
      <alignment horizontal="center" vertical="center"/>
    </xf>
    <xf numFmtId="0" fontId="34" fillId="13" borderId="2" applyAlignment="1" pivotButton="0" quotePrefix="0" xfId="0">
      <alignment horizontal="center" vertical="center"/>
    </xf>
    <xf numFmtId="165" fontId="37" fillId="15" borderId="23" applyAlignment="1" applyProtection="1" pivotButton="0" quotePrefix="0" xfId="1">
      <alignment horizontal="right" vertical="center"/>
      <protection locked="0" hidden="0"/>
    </xf>
    <xf numFmtId="165" fontId="37" fillId="15" borderId="24" applyAlignment="1" applyProtection="1" pivotButton="0" quotePrefix="0" xfId="1">
      <alignment horizontal="right" vertical="center"/>
      <protection locked="0" hidden="0"/>
    </xf>
    <xf numFmtId="165" fontId="37" fillId="15" borderId="25" applyAlignment="1" applyProtection="1" pivotButton="0" quotePrefix="0" xfId="1">
      <alignment horizontal="right" vertical="center"/>
      <protection locked="0" hidden="0"/>
    </xf>
    <xf numFmtId="165" fontId="35" fillId="14" borderId="31" applyAlignment="1" pivotButton="0" quotePrefix="0" xfId="1">
      <alignment horizontal="right" vertical="center"/>
    </xf>
    <xf numFmtId="165" fontId="35" fillId="14" borderId="32" applyAlignment="1" pivotButton="0" quotePrefix="0" xfId="1">
      <alignment horizontal="right" vertical="center"/>
    </xf>
    <xf numFmtId="165" fontId="35" fillId="14" borderId="33" applyAlignment="1" pivotButton="0" quotePrefix="0" xfId="1">
      <alignment horizontal="right" vertical="center"/>
    </xf>
    <xf numFmtId="165" fontId="37" fillId="15" borderId="26" applyAlignment="1" applyProtection="1" pivotButton="0" quotePrefix="0" xfId="1">
      <alignment horizontal="right" vertical="center"/>
      <protection locked="0" hidden="0"/>
    </xf>
    <xf numFmtId="2" fontId="33" fillId="0" borderId="20" applyAlignment="1" pivotButton="0" quotePrefix="0" xfId="1">
      <alignment horizontal="right" vertical="center"/>
    </xf>
    <xf numFmtId="2" fontId="33" fillId="0" borderId="11" applyAlignment="1" pivotButton="0" quotePrefix="0" xfId="1">
      <alignment horizontal="right" vertical="center"/>
    </xf>
    <xf numFmtId="2" fontId="33" fillId="0" borderId="12" applyAlignment="1" pivotButton="0" quotePrefix="0" xfId="1">
      <alignment horizontal="right" vertical="center"/>
    </xf>
    <xf numFmtId="165" fontId="35" fillId="14" borderId="34" applyAlignment="1" pivotButton="0" quotePrefix="0" xfId="1">
      <alignment horizontal="right" vertical="center"/>
    </xf>
    <xf numFmtId="164" fontId="33" fillId="16" borderId="20" applyAlignment="1" pivotButton="0" quotePrefix="0" xfId="1">
      <alignment horizontal="right" vertical="center"/>
    </xf>
    <xf numFmtId="164" fontId="33" fillId="16" borderId="11" applyAlignment="1" pivotButton="0" quotePrefix="0" xfId="1">
      <alignment horizontal="right" vertical="center"/>
    </xf>
    <xf numFmtId="164" fontId="33" fillId="16" borderId="12" applyAlignment="1" pivotButton="0" quotePrefix="0" xfId="1">
      <alignment horizontal="right" vertical="center"/>
    </xf>
    <xf numFmtId="165" fontId="37" fillId="15" borderId="27" applyAlignment="1" applyProtection="1" pivotButton="0" quotePrefix="0" xfId="1">
      <alignment horizontal="right" vertical="center"/>
      <protection locked="0" hidden="0"/>
    </xf>
    <xf numFmtId="2" fontId="33" fillId="0" borderId="21" applyAlignment="1" pivotButton="0" quotePrefix="0" xfId="1">
      <alignment horizontal="right" vertical="center"/>
    </xf>
    <xf numFmtId="2" fontId="33" fillId="0" borderId="14" applyAlignment="1" pivotButton="0" quotePrefix="0" xfId="1">
      <alignment horizontal="right" vertical="center"/>
    </xf>
    <xf numFmtId="2" fontId="33" fillId="0" borderId="15" applyAlignment="1" pivotButton="0" quotePrefix="0" xfId="1">
      <alignment horizontal="right" vertical="center"/>
    </xf>
    <xf numFmtId="165" fontId="35" fillId="14" borderId="35" applyAlignment="1" pivotButton="0" quotePrefix="0" xfId="1">
      <alignment horizontal="right" vertical="center"/>
    </xf>
    <xf numFmtId="164" fontId="33" fillId="16" borderId="21" applyAlignment="1" pivotButton="0" quotePrefix="0" xfId="1">
      <alignment horizontal="right" vertical="center"/>
    </xf>
    <xf numFmtId="164" fontId="33" fillId="16" borderId="14" applyAlignment="1" pivotButton="0" quotePrefix="0" xfId="1">
      <alignment horizontal="right" vertical="center"/>
    </xf>
    <xf numFmtId="164" fontId="33" fillId="16" borderId="15" applyAlignment="1" pivotButton="0" quotePrefix="0" xfId="1">
      <alignment horizontal="right" vertical="center"/>
    </xf>
    <xf numFmtId="165" fontId="37" fillId="15" borderId="28" applyAlignment="1" applyProtection="1" pivotButton="0" quotePrefix="0" xfId="1">
      <alignment horizontal="right" vertical="center"/>
      <protection locked="0" hidden="0"/>
    </xf>
    <xf numFmtId="2" fontId="33" fillId="0" borderId="22" applyAlignment="1" pivotButton="0" quotePrefix="0" xfId="1">
      <alignment horizontal="right" vertical="center"/>
    </xf>
    <xf numFmtId="2" fontId="33" fillId="0" borderId="17" applyAlignment="1" pivotButton="0" quotePrefix="0" xfId="1">
      <alignment horizontal="right" vertical="center"/>
    </xf>
    <xf numFmtId="2" fontId="33" fillId="0" borderId="18" applyAlignment="1" pivotButton="0" quotePrefix="0" xfId="1">
      <alignment horizontal="right" vertical="center"/>
    </xf>
    <xf numFmtId="165" fontId="35" fillId="14" borderId="36" applyAlignment="1" pivotButton="0" quotePrefix="0" xfId="1">
      <alignment horizontal="right" vertical="center"/>
    </xf>
    <xf numFmtId="178" fontId="33" fillId="0" borderId="10" applyAlignment="1" pivotButton="0" quotePrefix="0" xfId="1">
      <alignment horizontal="right" vertical="center"/>
    </xf>
    <xf numFmtId="178" fontId="33" fillId="0" borderId="11" applyAlignment="1" pivotButton="0" quotePrefix="0" xfId="1">
      <alignment horizontal="right" vertical="center"/>
    </xf>
    <xf numFmtId="178" fontId="33" fillId="0" borderId="12" applyAlignment="1" pivotButton="0" quotePrefix="0" xfId="1">
      <alignment horizontal="right" vertical="center"/>
    </xf>
    <xf numFmtId="43" fontId="33" fillId="16" borderId="10" applyAlignment="1" pivotButton="0" quotePrefix="0" xfId="1">
      <alignment horizontal="right" vertical="center"/>
    </xf>
    <xf numFmtId="43" fontId="33" fillId="16" borderId="11" applyAlignment="1" pivotButton="0" quotePrefix="0" xfId="1">
      <alignment horizontal="right" vertical="center"/>
    </xf>
    <xf numFmtId="43" fontId="33" fillId="16" borderId="12" applyAlignment="1" pivotButton="0" quotePrefix="0" xfId="1">
      <alignment horizontal="right" vertical="center"/>
    </xf>
    <xf numFmtId="178" fontId="33" fillId="0" borderId="13" applyAlignment="1" pivotButton="0" quotePrefix="0" xfId="1">
      <alignment horizontal="right" vertical="center"/>
    </xf>
    <xf numFmtId="178" fontId="33" fillId="0" borderId="14" applyAlignment="1" pivotButton="0" quotePrefix="0" xfId="1">
      <alignment horizontal="right" vertical="center"/>
    </xf>
    <xf numFmtId="178" fontId="33" fillId="0" borderId="15" applyAlignment="1" pivotButton="0" quotePrefix="0" xfId="1">
      <alignment horizontal="right" vertical="center"/>
    </xf>
    <xf numFmtId="43" fontId="33" fillId="16" borderId="13" applyAlignment="1" pivotButton="0" quotePrefix="0" xfId="1">
      <alignment horizontal="right" vertical="center"/>
    </xf>
    <xf numFmtId="43" fontId="33" fillId="16" borderId="14" applyAlignment="1" pivotButton="0" quotePrefix="0" xfId="1">
      <alignment horizontal="right" vertical="center"/>
    </xf>
    <xf numFmtId="43" fontId="33" fillId="16" borderId="15" applyAlignment="1" pivotButton="0" quotePrefix="0" xfId="1">
      <alignment horizontal="right" vertical="center"/>
    </xf>
    <xf numFmtId="178" fontId="33" fillId="0" borderId="16" applyAlignment="1" pivotButton="0" quotePrefix="0" xfId="1">
      <alignment horizontal="right" vertical="center"/>
    </xf>
    <xf numFmtId="178" fontId="33" fillId="0" borderId="17" applyAlignment="1" pivotButton="0" quotePrefix="0" xfId="1">
      <alignment horizontal="right" vertical="center"/>
    </xf>
    <xf numFmtId="178" fontId="33" fillId="0" borderId="18" applyAlignment="1" pivotButton="0" quotePrefix="0" xfId="1">
      <alignment horizontal="right" vertical="center"/>
    </xf>
    <xf numFmtId="166" fontId="33" fillId="0" borderId="0" pivotButton="0" quotePrefix="0" xfId="0"/>
    <xf numFmtId="168" fontId="0" fillId="0" borderId="2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0" fontId="44" fillId="0" borderId="0" applyAlignment="1" pivotButton="0" quotePrefix="0" xfId="0">
      <alignment horizontal="justify" vertical="center" wrapText="1"/>
    </xf>
    <xf numFmtId="0" fontId="44" fillId="0" borderId="9" applyAlignment="1" pivotButton="0" quotePrefix="0" xfId="0">
      <alignment horizontal="center" vertical="center" wrapText="1"/>
    </xf>
    <xf numFmtId="178" fontId="39" fillId="0" borderId="45" applyAlignment="1" pivotButton="0" quotePrefix="0" xfId="0">
      <alignment horizontal="justify" vertical="center" wrapText="1"/>
    </xf>
    <xf numFmtId="178" fontId="39" fillId="0" borderId="46" applyAlignment="1" pivotButton="0" quotePrefix="0" xfId="0">
      <alignment horizontal="justify" vertical="center" wrapText="1"/>
    </xf>
    <xf numFmtId="0" fontId="44" fillId="0" borderId="44" applyAlignment="1" pivotButton="0" quotePrefix="0" xfId="0">
      <alignment horizontal="left" vertical="center" wrapText="1"/>
    </xf>
    <xf numFmtId="178" fontId="44" fillId="0" borderId="45" applyAlignment="1" pivotButton="0" quotePrefix="0" xfId="0">
      <alignment horizontal="justify" vertical="center" wrapText="1"/>
    </xf>
    <xf numFmtId="0" fontId="45" fillId="0" borderId="0" pivotButton="0" quotePrefix="0" xfId="0"/>
  </cellXfs>
  <cellStyles count="136">
    <cellStyle name="Normal" xfId="0" builtinId="0"/>
    <cellStyle name="Comma" xfId="1" builtinId="3"/>
    <cellStyle name="Currency" xfId="2" builtinId="4"/>
    <cellStyle name="Normal 3 3" xfId="3"/>
    <cellStyle name="Normal 2 2" xfId="4"/>
    <cellStyle name="amount" xfId="5"/>
    <cellStyle name="Body" xfId="6"/>
    <cellStyle name="Calc Currency (0)" xfId="7"/>
    <cellStyle name="Comma 2" xfId="8"/>
    <cellStyle name="Comma 3" xfId="9"/>
    <cellStyle name="Comma 3 2" xfId="10"/>
    <cellStyle name="Comma 4" xfId="11"/>
    <cellStyle name="Comma 5" xfId="12"/>
    <cellStyle name="Comma 6" xfId="13"/>
    <cellStyle name="Comma 6 2" xfId="14"/>
    <cellStyle name="Comma 7" xfId="15"/>
    <cellStyle name="Comma 8" xfId="16"/>
    <cellStyle name="Company Name" xfId="17"/>
    <cellStyle name="Currency 2" xfId="18"/>
    <cellStyle name="Currency 3" xfId="19"/>
    <cellStyle name="Currency 4" xfId="20"/>
    <cellStyle name="Grey" xfId="21"/>
    <cellStyle name="Head 1" xfId="22"/>
    <cellStyle name="header" xfId="23"/>
    <cellStyle name="header 2" xfId="24"/>
    <cellStyle name="Header Total" xfId="25"/>
    <cellStyle name="Header1" xfId="26"/>
    <cellStyle name="Header2" xfId="27"/>
    <cellStyle name="Header3" xfId="28"/>
    <cellStyle name="HEADINGS" xfId="29"/>
    <cellStyle name="HEADINGSTOP" xfId="30"/>
    <cellStyle name="Hyperlink 2" xfId="31"/>
    <cellStyle name="Input [yellow]" xfId="32"/>
    <cellStyle name="Normal - Style1" xfId="33"/>
    <cellStyle name="Normal 10" xfId="34"/>
    <cellStyle name="Normal 11" xfId="35"/>
    <cellStyle name="Normal 12" xfId="36"/>
    <cellStyle name="Normal 13" xfId="37"/>
    <cellStyle name="Normal 14" xfId="38"/>
    <cellStyle name="Normal 15" xfId="39"/>
    <cellStyle name="Normal 16" xfId="40"/>
    <cellStyle name="Normal 17" xfId="41"/>
    <cellStyle name="Normal 18" xfId="42"/>
    <cellStyle name="Normal 19" xfId="43"/>
    <cellStyle name="Normal 2" xfId="44"/>
    <cellStyle name="Normal 2 3" xfId="45"/>
    <cellStyle name="Normal 20" xfId="46"/>
    <cellStyle name="Normal 21" xfId="47"/>
    <cellStyle name="Normal 22" xfId="48"/>
    <cellStyle name="Normal 23" xfId="49"/>
    <cellStyle name="Normal 24" xfId="50"/>
    <cellStyle name="Normal 25" xfId="51"/>
    <cellStyle name="Normal 26" xfId="52"/>
    <cellStyle name="Normal 27" xfId="53"/>
    <cellStyle name="Normal 28" xfId="54"/>
    <cellStyle name="Normal 29" xfId="55"/>
    <cellStyle name="Normal 3" xfId="56"/>
    <cellStyle name="Normal 3 2" xfId="57"/>
    <cellStyle name="Normal 3 2 2" xfId="58"/>
    <cellStyle name="Normal 30" xfId="59"/>
    <cellStyle name="Normal 31" xfId="60"/>
    <cellStyle name="Normal 32" xfId="61"/>
    <cellStyle name="Normal 33" xfId="62"/>
    <cellStyle name="Normal 34" xfId="63"/>
    <cellStyle name="Normal 35" xfId="64"/>
    <cellStyle name="Normal 36" xfId="65"/>
    <cellStyle name="Normal 37" xfId="66"/>
    <cellStyle name="Normal 38" xfId="67"/>
    <cellStyle name="Normal 39" xfId="68"/>
    <cellStyle name="Normal 4" xfId="69"/>
    <cellStyle name="Normal 40" xfId="70"/>
    <cellStyle name="Normal 41" xfId="71"/>
    <cellStyle name="Normal 42" xfId="72"/>
    <cellStyle name="Normal 43" xfId="73"/>
    <cellStyle name="Normal 44" xfId="74"/>
    <cellStyle name="Normal 45" xfId="75"/>
    <cellStyle name="Normal 46" xfId="76"/>
    <cellStyle name="Normal 47" xfId="77"/>
    <cellStyle name="Normal 48" xfId="78"/>
    <cellStyle name="Normal 49" xfId="79"/>
    <cellStyle name="Normal 49 2" xfId="80"/>
    <cellStyle name="Normal 49 3" xfId="81"/>
    <cellStyle name="Normal 49 4" xfId="82"/>
    <cellStyle name="Normal 5" xfId="83"/>
    <cellStyle name="Normal 5 2" xfId="84"/>
    <cellStyle name="Normal 50" xfId="85"/>
    <cellStyle name="Normal 51" xfId="86"/>
    <cellStyle name="Normal 52" xfId="87"/>
    <cellStyle name="Normal 53" xfId="88"/>
    <cellStyle name="Normal 54" xfId="89"/>
    <cellStyle name="Normal 55" xfId="90"/>
    <cellStyle name="Normal 56" xfId="91"/>
    <cellStyle name="Normal 57" xfId="92"/>
    <cellStyle name="Normal 58" xfId="93"/>
    <cellStyle name="Normal 59" xfId="94"/>
    <cellStyle name="Normal 6" xfId="95"/>
    <cellStyle name="Normal 6 2" xfId="96"/>
    <cellStyle name="Normal 60" xfId="97"/>
    <cellStyle name="Normal 61" xfId="98"/>
    <cellStyle name="Normal 62" xfId="99"/>
    <cellStyle name="Normal 63" xfId="100"/>
    <cellStyle name="Normal 64" xfId="101"/>
    <cellStyle name="Normal 65" xfId="102"/>
    <cellStyle name="Normal 66" xfId="103"/>
    <cellStyle name="Normal 67" xfId="104"/>
    <cellStyle name="Normal 68" xfId="105"/>
    <cellStyle name="Normal 69" xfId="106"/>
    <cellStyle name="Normal 7" xfId="107"/>
    <cellStyle name="Normal 70" xfId="108"/>
    <cellStyle name="Normal 71" xfId="109"/>
    <cellStyle name="Normal 72" xfId="110"/>
    <cellStyle name="Normal 73" xfId="111"/>
    <cellStyle name="Normal 74" xfId="112"/>
    <cellStyle name="Normal 75" xfId="113"/>
    <cellStyle name="Normal 76" xfId="114"/>
    <cellStyle name="Normal 77" xfId="115"/>
    <cellStyle name="Normal 8" xfId="116"/>
    <cellStyle name="Normal 9" xfId="117"/>
    <cellStyle name="Page title" xfId="118"/>
    <cellStyle name="per.style" xfId="119"/>
    <cellStyle name="Percent [2]" xfId="120"/>
    <cellStyle name="Percent 2" xfId="121"/>
    <cellStyle name="Percent 3" xfId="122"/>
    <cellStyle name="Percent 3 2" xfId="123"/>
    <cellStyle name="Percent 4" xfId="124"/>
    <cellStyle name="Percent 5" xfId="125"/>
    <cellStyle name="Percent 5 2" xfId="126"/>
    <cellStyle name="Percent 6" xfId="127"/>
    <cellStyle name="regstoresfromspecstores" xfId="128"/>
    <cellStyle name="RevList" xfId="129"/>
    <cellStyle name="specstores" xfId="130"/>
    <cellStyle name="Subtotal" xfId="131"/>
    <cellStyle name="Table_Header" xfId="132"/>
    <cellStyle name="Underline_Double" xfId="133"/>
    <cellStyle name="WingDing" xfId="134"/>
    <cellStyle name="常规_2012年3月_1" xfId="135"/>
  </cellStyles>
  <dxfs count="3">
    <dxf>
      <fill>
        <patternFill patternType="gray0625">
          <bgColor theme="0" tint="-0.0499893185216834"/>
        </patternFill>
      </fill>
    </dxf>
    <dxf>
      <fill>
        <patternFill patternType="gray0625">
          <bgColor theme="0" tint="-0.0499893185216834"/>
        </patternFill>
      </fill>
    </dxf>
    <dxf>
      <fill>
        <patternFill patternType="gray0625">
          <bgColor theme="0" tint="-0.049989318521683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Projects/Hand%20&amp;%20Cloth/Financial%20Model/Hand&amp;Cloth.Model.v20%20(tables%20condensed%20for%20presentation%20appendix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/Documents%20and%20Settings/shkapp/Desktop/Template2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/Projects/Hand%20&amp;%20Cloth/Financial%20Model/Hand&amp;Cloth.Model.v3%20(exc%20private%20label)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/Users/vincecavin/Dropbox/Dig%20Foods/Financials/Payroll/2013/6-28/Panzanzee.FinancialModel.v12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C:/Users/Lev/Documents/Booth/Courses/34106%20-%20Commercializing%20Innovation/Dropbox%20-%20Commercializing%20Innovation/Week%206%20-%20PPA/Model/CI_02_Group%2001_PPA%20Unit%20Model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neral Assumptions"/>
      <sheetName val="Products"/>
      <sheetName val="(BD) Workers"/>
      <sheetName val="(BD) Staff"/>
      <sheetName val="(BD) OpEx"/>
      <sheetName val="(BD) CapEx"/>
      <sheetName val="(BD) Inventory"/>
      <sheetName val="(BD) SG&amp;A"/>
      <sheetName val="Productivity"/>
      <sheetName val="(BD) Unit Model"/>
      <sheetName val="(BD) Rollout"/>
      <sheetName val="(BD) Rollup"/>
      <sheetName val="(US) Shipping"/>
      <sheetName val="(US) S&amp;M Karima"/>
      <sheetName val="(US) S&amp;M"/>
      <sheetName val="(US) G&amp;A"/>
      <sheetName val="(US) Model"/>
      <sheetName val="(US) Rollout"/>
      <sheetName val="(US-BD) Rollup"/>
      <sheetName val="Growth Strategy"/>
      <sheetName val="Marketing Strategy"/>
      <sheetName val="Key Unit Model Assumptions"/>
      <sheetName val="Co-Op Growth"/>
      <sheetName val="Revenue Model Graphs"/>
      <sheetName val="Cost Model Graphs"/>
      <sheetName val="Funding"/>
      <sheetName val="Funding (2)"/>
      <sheetName val="Funding (3)"/>
      <sheetName val="Profit Distribution"/>
      <sheetName val="Analogs"/>
      <sheetName val="B.Outreach"/>
    </sheetNames>
    <sheetDataSet>
      <sheetData sheetId="0">
        <row r="5">
          <cell r="B5">
            <v>70</v>
          </cell>
        </row>
        <row r="7">
          <cell r="B7">
            <v>52</v>
          </cell>
        </row>
        <row r="8">
          <cell r="B8">
            <v>0.4</v>
          </cell>
        </row>
      </sheetData>
      <sheetData sheetId="1" refreshError="1"/>
      <sheetData sheetId="2">
        <row r="4">
          <cell r="B4">
            <v>110</v>
          </cell>
        </row>
        <row r="19">
          <cell r="B19">
            <v>25</v>
          </cell>
        </row>
      </sheetData>
      <sheetData sheetId="3">
        <row r="5">
          <cell r="D5">
            <v>9000</v>
          </cell>
        </row>
        <row r="6">
          <cell r="D6">
            <v>4000</v>
          </cell>
        </row>
        <row r="7">
          <cell r="D7">
            <v>2500</v>
          </cell>
        </row>
        <row r="8">
          <cell r="D8">
            <v>4000</v>
          </cell>
        </row>
        <row r="10">
          <cell r="D10">
            <v>0.6</v>
          </cell>
        </row>
        <row r="11">
          <cell r="D11">
            <v>0.25</v>
          </cell>
        </row>
        <row r="12">
          <cell r="D12">
            <v>1000</v>
          </cell>
        </row>
        <row r="13">
          <cell r="D13">
            <v>6500</v>
          </cell>
        </row>
        <row r="14">
          <cell r="D14">
            <v>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8">
          <cell r="B58">
            <v>1200</v>
          </cell>
        </row>
        <row r="60">
          <cell r="B60">
            <v>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rget"/>
      <sheetName val="Valuation"/>
      <sheetName val="Charts"/>
      <sheetName val="Acquiror"/>
      <sheetName val="Assumptions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C8" t="str">
            <v>Confidential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eneral Assumptions"/>
      <sheetName val="Staff"/>
      <sheetName val="Wage Workers"/>
      <sheetName val="Fixed Operating Expenses"/>
      <sheetName val="Initial Equipment"/>
      <sheetName val="Initial Inventory"/>
      <sheetName val="Productivity"/>
      <sheetName val="Shipping"/>
      <sheetName val="Marketing&amp;Sales"/>
      <sheetName val="Marketing&amp;Sales_Karima"/>
      <sheetName val="US Management"/>
      <sheetName val="US HQ"/>
      <sheetName val="Assump Operation"/>
    </sheetNames>
    <sheetDataSet>
      <sheetData sheetId="0">
        <row r="6">
          <cell r="B6">
            <v>12</v>
          </cell>
        </row>
      </sheetData>
      <sheetData sheetId="1">
        <row r="9">
          <cell r="C9">
            <v>3500</v>
          </cell>
        </row>
      </sheetData>
      <sheetData sheetId="2">
        <row r="7">
          <cell r="B7">
            <v>46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Analog Matrix"/>
      <sheetName val="Other Analog Data"/>
      <sheetName val="Unit Model (Old, Combined)"/>
      <sheetName val="Perceptual Map"/>
      <sheetName val="Perceptual Map (Chart)"/>
      <sheetName val="Unit Model (Small Incubator)"/>
      <sheetName val="Unit Model (Large Incubator)"/>
      <sheetName val="Unit Model (Consolidated)"/>
      <sheetName val="Income Statement"/>
      <sheetName val="Revenue Model Graphs"/>
      <sheetName val="Cost Model Graphs"/>
      <sheetName val="Funding"/>
    </sheetNames>
    <sheetDataSet>
      <sheetData sheetId="0">
        <row r="3">
          <cell r="CB3">
            <v>12</v>
          </cell>
        </row>
      </sheetData>
      <sheetData sheetId="1"/>
      <sheetData sheetId="2">
        <row r="3">
          <cell r="CB3">
            <v>12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ntrol Panel"/>
      <sheetName val="Analog A"/>
      <sheetName val="Analog B"/>
      <sheetName val="Quanti Matrix"/>
      <sheetName val="Assump._UNIT Investment"/>
      <sheetName val="Salary Assumptions"/>
      <sheetName val="Assump._UNIT Operation"/>
      <sheetName val="Unit Model"/>
      <sheetName val="Unit Model2"/>
      <sheetName val="Assumptions_Corp.Marketing"/>
      <sheetName val="Unit Model_Fran"/>
      <sheetName val="Assumption_Corp.G&amp;A"/>
      <sheetName val="Rollout"/>
      <sheetName val="Rollup"/>
      <sheetName val="Assumption_Propening Expense"/>
    </sheetNames>
    <sheetDataSet>
      <sheetData sheetId="0">
        <row r="7">
          <cell r="D7" t="str">
            <v>PPA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1">
          <cell r="D11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8"/>
  <sheetViews>
    <sheetView showGridLines="0" workbookViewId="0">
      <selection activeCell="A1" sqref="A1"/>
    </sheetView>
  </sheetViews>
  <sheetFormatPr baseColWidth="10" defaultColWidth="8.83203125" defaultRowHeight="15"/>
  <cols>
    <col width="0.1640625" customWidth="1" min="1" max="1"/>
    <col width="2.5" customWidth="1" min="2" max="2"/>
  </cols>
  <sheetData>
    <row r="1">
      <c r="B1" s="46" t="inlineStr">
        <is>
          <t>Instructions</t>
        </is>
      </c>
    </row>
    <row r="2">
      <c r="C2" s="46" t="n"/>
    </row>
    <row r="3">
      <c r="B3" s="47" t="inlineStr">
        <is>
          <t>C-D Model:</t>
        </is>
      </c>
    </row>
    <row r="4">
      <c r="B4" s="90" t="n">
        <v>1</v>
      </c>
      <c r="C4" t="inlineStr">
        <is>
          <t>In the C-D Model tab, fill in the formulas in the grids to calculate daily throughput, manufacturing overhead per unit, and manufacturing overhead + materials cost per unit.</t>
        </is>
      </c>
    </row>
    <row r="5">
      <c r="B5" s="90" t="n">
        <v>2</v>
      </c>
      <c r="C5" t="inlineStr">
        <is>
          <t>The Cobb-Douglas equation for annual throughput is in the light blue box at the top of the sheet.</t>
        </is>
      </c>
    </row>
    <row r="6">
      <c r="B6" s="90" t="n">
        <v>3</v>
      </c>
      <c r="C6" t="inlineStr">
        <is>
          <t>The parameters for A, alpha, and beta for each factory type are listed in the factory parameters boxes at the top of the sheet to the left of the Cobb-Douglas equation.</t>
        </is>
      </c>
    </row>
    <row r="7" ht="17" customHeight="1">
      <c r="B7" s="90" t="n">
        <v>4</v>
      </c>
      <c r="C7" t="inlineStr">
        <is>
          <t>The capital (K) and daily labor (Ldaily) inputs for the Cobb-Douglas function are listed in the row and column labels for each grid. Daily labor is referred to as daily expenditure in the simulation.</t>
        </is>
      </c>
    </row>
    <row r="8">
      <c r="B8" s="90" t="n">
        <v>5</v>
      </c>
      <c r="C8" t="inlineStr">
        <is>
          <t>Your formulas should reference the factory parameters at the top of the sheet, and the K and L values in each grid's row and column labels.</t>
        </is>
      </c>
    </row>
    <row r="9">
      <c r="B9" s="90" t="n">
        <v>6</v>
      </c>
      <c r="C9" t="inlineStr">
        <is>
          <t>The cells highlighted in yellow are intended to contain changeable inputs for your formulas. The values in the other cells should not be changed.</t>
        </is>
      </c>
    </row>
    <row r="10">
      <c r="B10" s="90" t="n">
        <v>7</v>
      </c>
      <c r="C10" t="inlineStr">
        <is>
          <t>Rows for values of K that are less than the minimum required capital for a factory type are grayed out.</t>
        </is>
      </c>
    </row>
    <row r="11">
      <c r="B11" s="90" t="n">
        <v>8</v>
      </c>
      <c r="C11" t="inlineStr">
        <is>
          <t>You can find more information on the Cobb-Douglas function in the Production section of the Gleacher Game Case Brief posted on Canvas.</t>
        </is>
      </c>
    </row>
    <row r="12">
      <c r="B12" s="90" t="n"/>
    </row>
    <row r="13">
      <c r="B13" s="47" t="inlineStr">
        <is>
          <t>Initial Parameters:</t>
        </is>
      </c>
    </row>
    <row r="14">
      <c r="B14" s="90" t="n">
        <v>1</v>
      </c>
      <c r="C14" t="inlineStr">
        <is>
          <t>The Initial Parameters tab is included for your convenience. It contains some factory, distribution center, and tax rate parameters for the start of the simulation.</t>
        </is>
      </c>
    </row>
    <row r="15">
      <c r="B15" s="90" t="n">
        <v>2</v>
      </c>
      <c r="C15" t="inlineStr">
        <is>
          <t>A more comprehensive summary of simulation parameters can be found in the Quick Reference document posted on Canvas.</t>
        </is>
      </c>
    </row>
    <row r="16">
      <c r="B16" s="90" t="n"/>
    </row>
    <row r="17">
      <c r="B17" s="47" t="inlineStr">
        <is>
          <t>Contribution Margin Table:</t>
        </is>
      </c>
    </row>
    <row r="18">
      <c r="B18" s="90" t="n">
        <v>1</v>
      </c>
      <c r="C18" t="inlineStr">
        <is>
          <t>The Contribution Margin Table tab contains a template, included here for your convenience, that you can use for calculating contribution margin per unit and per day.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AA103"/>
  <sheetViews>
    <sheetView showGridLines="0" zoomScaleNormal="100" workbookViewId="0">
      <pane ySplit="15" topLeftCell="A16" activePane="bottomLeft" state="frozen"/>
      <selection pane="bottomLeft" activeCell="A1" sqref="A1"/>
    </sheetView>
  </sheetViews>
  <sheetFormatPr baseColWidth="10" defaultColWidth="8.83203125" defaultRowHeight="13"/>
  <cols>
    <col width="0.83203125" customWidth="1" style="1" min="1" max="1"/>
    <col width="13.1640625" bestFit="1" customWidth="1" style="1" min="2" max="2"/>
    <col width="8.83203125" customWidth="1" style="1" min="3" max="9"/>
    <col width="6.1640625" bestFit="1" customWidth="1" style="1" min="10" max="10"/>
    <col width="13.1640625" bestFit="1" customWidth="1" style="1" min="11" max="11"/>
    <col width="8.83203125" customWidth="1" style="1" min="12" max="18"/>
    <col width="5.6640625" customWidth="1" style="1" min="19" max="19"/>
    <col width="13.1640625" bestFit="1" customWidth="1" style="1" min="20" max="20"/>
    <col width="8.83203125" customWidth="1" style="1" min="21" max="25"/>
    <col width="9" customWidth="1" style="1" min="26" max="26"/>
    <col width="8.83203125" customWidth="1" style="1" min="27" max="16384"/>
  </cols>
  <sheetData>
    <row r="1" ht="3" customHeight="1"/>
    <row r="3" ht="9.75" customHeight="1"/>
    <row r="4" ht="28" customHeight="1">
      <c r="B4" s="2" t="n"/>
      <c r="C4" s="2" t="n"/>
      <c r="D4" s="77" t="inlineStr">
        <is>
          <t>Bench Factory Parameters</t>
        </is>
      </c>
      <c r="E4" s="91" t="n"/>
      <c r="F4" s="78" t="inlineStr">
        <is>
          <t>Line Factory Parameters</t>
        </is>
      </c>
      <c r="G4" s="91" t="n"/>
      <c r="H4" s="78" t="inlineStr">
        <is>
          <t>Cell Factory Parameters</t>
        </is>
      </c>
      <c r="I4" s="91" t="n"/>
      <c r="K4" s="92" t="inlineStr">
        <is>
          <t>Y = A KαLβ</t>
        </is>
      </c>
      <c r="L4" s="93" t="n"/>
      <c r="M4" s="94" t="n"/>
      <c r="N4" s="2" t="n"/>
      <c r="T4" s="2" t="n"/>
      <c r="U4" s="2" t="n"/>
    </row>
    <row r="5" ht="14" customHeight="1">
      <c r="B5" s="82" t="inlineStr">
        <is>
          <t>A</t>
        </is>
      </c>
      <c r="C5" s="95" t="n"/>
      <c r="D5" s="96" t="n">
        <v>0.008999999999999999</v>
      </c>
      <c r="E5" s="97" t="n"/>
      <c r="F5" s="98" t="n">
        <v>0.01</v>
      </c>
      <c r="G5" s="99" t="n"/>
      <c r="H5" s="98" t="n">
        <v>0.02</v>
      </c>
      <c r="I5" s="99" t="n"/>
      <c r="N5" s="2" t="n"/>
      <c r="T5" s="2" t="n"/>
      <c r="U5" s="2" t="n"/>
    </row>
    <row r="6" ht="14" customHeight="1">
      <c r="B6" s="74" t="inlineStr">
        <is>
          <t>α</t>
        </is>
      </c>
      <c r="D6" s="70" t="n">
        <v>0.1</v>
      </c>
      <c r="E6" s="100" t="n"/>
      <c r="F6" s="70" t="n">
        <v>0.3</v>
      </c>
      <c r="G6" s="100" t="n"/>
      <c r="H6" s="70" t="n">
        <v>0.8</v>
      </c>
      <c r="I6" s="100" t="n"/>
      <c r="N6" s="2" t="n"/>
      <c r="T6" s="2" t="n"/>
      <c r="U6" s="2" t="n"/>
    </row>
    <row r="7" ht="14" customHeight="1">
      <c r="B7" s="74" t="inlineStr">
        <is>
          <t>β</t>
        </is>
      </c>
      <c r="D7" s="88">
        <f>D8-D6</f>
        <v/>
      </c>
      <c r="E7" s="101" t="n"/>
      <c r="F7" s="88" t="n">
        <v>0.75</v>
      </c>
      <c r="G7" s="101" t="n"/>
      <c r="H7" s="88" t="n">
        <v>0.3</v>
      </c>
      <c r="I7" s="101" t="n"/>
      <c r="K7" s="102" t="inlineStr">
        <is>
          <t>Depreciation years</t>
        </is>
      </c>
      <c r="L7" s="94" t="n"/>
      <c r="M7" s="103" t="n">
        <v>15</v>
      </c>
      <c r="N7" s="2" t="n"/>
      <c r="T7" s="2" t="n"/>
      <c r="U7" s="2" t="n"/>
    </row>
    <row r="8" ht="14" customHeight="1">
      <c r="B8" s="74" t="inlineStr">
        <is>
          <t>α+β</t>
        </is>
      </c>
      <c r="D8" s="70" t="n">
        <v>0.95</v>
      </c>
      <c r="E8" s="100" t="n"/>
      <c r="F8" s="70" t="n">
        <v>1.05</v>
      </c>
      <c r="G8" s="100" t="n"/>
      <c r="H8" s="70" t="n">
        <v>1.1</v>
      </c>
      <c r="I8" s="100" t="n"/>
      <c r="N8" s="2" t="n"/>
      <c r="T8" s="2" t="n"/>
      <c r="U8" s="2" t="n"/>
    </row>
    <row r="9" ht="6" customHeight="1">
      <c r="B9" s="23" t="n"/>
      <c r="C9" s="24" t="n"/>
      <c r="D9" s="68" t="n"/>
      <c r="E9" s="101" t="n"/>
      <c r="F9" s="68" t="n"/>
      <c r="G9" s="101" t="n"/>
      <c r="H9" s="68" t="n"/>
      <c r="I9" s="101" t="n"/>
      <c r="K9" s="2" t="n"/>
      <c r="L9" s="2" t="n"/>
      <c r="M9" s="2" t="n"/>
      <c r="N9" s="2" t="n"/>
      <c r="T9" s="2" t="n"/>
      <c r="U9" s="2" t="n"/>
    </row>
    <row r="10" ht="14" customHeight="1" thickBot="1">
      <c r="B10" s="74" t="inlineStr">
        <is>
          <t>Setup time, in days</t>
        </is>
      </c>
      <c r="D10" s="70" t="n">
        <v>0.05</v>
      </c>
      <c r="E10" s="100" t="n"/>
      <c r="F10" s="70" t="n">
        <v>0.5</v>
      </c>
      <c r="G10" s="100" t="n"/>
      <c r="H10" s="70" t="n">
        <v>1</v>
      </c>
      <c r="I10" s="100" t="n"/>
      <c r="K10" s="102" t="inlineStr">
        <is>
          <t># of days per year</t>
        </is>
      </c>
      <c r="L10" s="94" t="n"/>
      <c r="M10" s="103" t="n">
        <v>364</v>
      </c>
      <c r="N10" s="2" t="n"/>
      <c r="T10" s="2" t="n"/>
      <c r="U10" s="2" t="n"/>
    </row>
    <row r="11" ht="15" customHeight="1" thickBot="1">
      <c r="B11" s="74" t="inlineStr">
        <is>
          <t xml:space="preserve">Batch size </t>
        </is>
      </c>
      <c r="D11" s="104" t="n">
        <v>100</v>
      </c>
      <c r="E11" s="105" t="n"/>
      <c r="F11" s="104" t="n">
        <v>100</v>
      </c>
      <c r="G11" s="105" t="n"/>
      <c r="H11" s="104" t="n">
        <v>100</v>
      </c>
      <c r="I11" s="105" t="n"/>
      <c r="N11" s="2" t="n"/>
      <c r="T11" s="2" t="n"/>
      <c r="U11" s="2" t="n"/>
    </row>
    <row r="12" ht="6" customHeight="1" thickBot="1">
      <c r="B12" s="23" t="n"/>
      <c r="C12" s="24" t="n"/>
      <c r="D12" s="68" t="n"/>
      <c r="E12" s="101" t="n"/>
      <c r="F12" s="68" t="n"/>
      <c r="G12" s="101" t="n"/>
      <c r="H12" s="68" t="n"/>
      <c r="I12" s="101" t="n"/>
      <c r="K12" s="2" t="n"/>
      <c r="L12" s="2" t="n"/>
      <c r="M12" s="2" t="n"/>
      <c r="N12" s="2" t="n"/>
      <c r="T12" s="2" t="n"/>
      <c r="U12" s="2" t="n"/>
    </row>
    <row r="13" ht="14" customHeight="1" thickBot="1">
      <c r="B13" s="62" t="inlineStr">
        <is>
          <t xml:space="preserve">Minimum capital </t>
        </is>
      </c>
      <c r="C13" s="106" t="n"/>
      <c r="D13" s="107" t="n">
        <v>1</v>
      </c>
      <c r="E13" s="108" t="n"/>
      <c r="F13" s="107" t="n">
        <v>500000</v>
      </c>
      <c r="G13" s="108" t="n"/>
      <c r="H13" s="107" t="n">
        <v>3000000</v>
      </c>
      <c r="I13" s="108" t="n"/>
      <c r="K13" s="109" t="inlineStr">
        <is>
          <t>Materials cost per unit</t>
        </is>
      </c>
      <c r="L13" s="110" t="n"/>
      <c r="M13" s="111" t="n">
        <v>100</v>
      </c>
      <c r="N13" s="2" t="n"/>
      <c r="T13" s="2" t="n"/>
      <c r="U13" s="2" t="n"/>
    </row>
    <row r="14" ht="9.75" customHeight="1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B15" s="2" t="n"/>
      <c r="C15" s="112" t="inlineStr">
        <is>
          <t>Bench</t>
        </is>
      </c>
      <c r="D15" s="93" t="n"/>
      <c r="E15" s="93" t="n"/>
      <c r="F15" s="93" t="n"/>
      <c r="G15" s="93" t="n"/>
      <c r="H15" s="93" t="n"/>
      <c r="I15" s="94" t="n"/>
      <c r="J15" s="2" t="n"/>
      <c r="K15" s="2" t="n"/>
      <c r="L15" s="112" t="inlineStr">
        <is>
          <t>Line</t>
        </is>
      </c>
      <c r="M15" s="93" t="n"/>
      <c r="N15" s="93" t="n"/>
      <c r="O15" s="93" t="n"/>
      <c r="P15" s="93" t="n"/>
      <c r="Q15" s="93" t="n"/>
      <c r="R15" s="94" t="n"/>
      <c r="S15" s="2" t="n"/>
      <c r="T15" s="2" t="n"/>
      <c r="U15" s="112" t="inlineStr">
        <is>
          <t>Cell</t>
        </is>
      </c>
      <c r="V15" s="93" t="n"/>
      <c r="W15" s="93" t="n"/>
      <c r="X15" s="93" t="n"/>
      <c r="Y15" s="93" t="n"/>
      <c r="Z15" s="93" t="n"/>
      <c r="AA15" s="94" t="n"/>
    </row>
    <row r="16" ht="3.5" customHeight="1"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 ht="14" customHeight="1" thickBot="1">
      <c r="B17" s="2" t="n"/>
      <c r="C17" s="113" t="inlineStr">
        <is>
          <t>Daily Throughput in units, including setup time</t>
        </is>
      </c>
      <c r="D17" s="93" t="n"/>
      <c r="E17" s="93" t="n"/>
      <c r="F17" s="93" t="n"/>
      <c r="G17" s="93" t="n"/>
      <c r="H17" s="93" t="n"/>
      <c r="I17" s="94" t="n"/>
      <c r="K17" s="2" t="n"/>
      <c r="L17" s="113" t="inlineStr">
        <is>
          <t>Daily Throughput in units, including setup time</t>
        </is>
      </c>
      <c r="M17" s="93" t="n"/>
      <c r="N17" s="93" t="n"/>
      <c r="O17" s="93" t="n"/>
      <c r="P17" s="93" t="n"/>
      <c r="Q17" s="93" t="n"/>
      <c r="R17" s="94" t="n"/>
      <c r="T17" s="2" t="n"/>
      <c r="U17" s="113" t="inlineStr">
        <is>
          <t>Daily Throughput in units, including setup time</t>
        </is>
      </c>
      <c r="V17" s="93" t="n"/>
      <c r="W17" s="93" t="n"/>
      <c r="X17" s="93" t="n"/>
      <c r="Y17" s="93" t="n"/>
      <c r="Z17" s="93" t="n"/>
      <c r="AA17" s="94" t="n"/>
    </row>
    <row r="18" ht="16" customHeight="1" thickBot="1">
      <c r="B18" s="18" t="inlineStr">
        <is>
          <t>K ↓ vs Ldaily →</t>
        </is>
      </c>
      <c r="C18" s="114" t="n">
        <v>500</v>
      </c>
      <c r="D18" s="115" t="n">
        <v>1000</v>
      </c>
      <c r="E18" s="115" t="n">
        <v>2500</v>
      </c>
      <c r="F18" s="115" t="n">
        <v>3000</v>
      </c>
      <c r="G18" s="115" t="n">
        <v>4000</v>
      </c>
      <c r="H18" s="115" t="n">
        <v>8000</v>
      </c>
      <c r="I18" s="116" t="n">
        <v>16000</v>
      </c>
      <c r="K18" s="18" t="inlineStr">
        <is>
          <t>K ↓ vs Ldaily →</t>
        </is>
      </c>
      <c r="L18" s="117">
        <f>$C$18</f>
        <v/>
      </c>
      <c r="M18" s="118">
        <f>$D$18</f>
        <v/>
      </c>
      <c r="N18" s="118">
        <f>$E$18</f>
        <v/>
      </c>
      <c r="O18" s="118">
        <f>$F$18</f>
        <v/>
      </c>
      <c r="P18" s="118">
        <f>$G$18</f>
        <v/>
      </c>
      <c r="Q18" s="118">
        <f>$H$18</f>
        <v/>
      </c>
      <c r="R18" s="119">
        <f>$I$18</f>
        <v/>
      </c>
      <c r="T18" s="18" t="inlineStr">
        <is>
          <t>K ↓ vs Ldaily →</t>
        </is>
      </c>
      <c r="U18" s="117">
        <f>$C$18</f>
        <v/>
      </c>
      <c r="V18" s="118">
        <f>$D$18</f>
        <v/>
      </c>
      <c r="W18" s="118">
        <f>$E$18</f>
        <v/>
      </c>
      <c r="X18" s="118">
        <f>$F$18</f>
        <v/>
      </c>
      <c r="Y18" s="118">
        <f>$G$18</f>
        <v/>
      </c>
      <c r="Z18" s="118">
        <f>$H$18</f>
        <v/>
      </c>
      <c r="AA18" s="119">
        <f>$I$18</f>
        <v/>
      </c>
    </row>
    <row r="19">
      <c r="B19" s="120" t="n">
        <v>100000</v>
      </c>
      <c r="C19" s="121">
        <f>$D$11 / ($D$11 / ($D$5 * $B19^$D$6 * (C$18 * $M$10)^$D$7 / $M$10) + $D$10)</f>
        <v/>
      </c>
      <c r="D19" s="122">
        <f>$D$11 / ($D$11 / ($D$5 * $B19^$D$6 * (D$18 * $M$10)^$D$7 / $M$10) + $D$10)</f>
        <v/>
      </c>
      <c r="E19" s="122">
        <f>$D$11 / ($D$11 / ($D$5 * $B19^$D$6 * (E$18 * $M$10)^$D$7 / $M$10) + $D$10)</f>
        <v/>
      </c>
      <c r="F19" s="122">
        <f>$D$11 / ($D$11 / ($D$5 * $B19^$D$6 * (F$18 * $M$10)^$D$7 / $M$10) + $D$10)</f>
        <v/>
      </c>
      <c r="G19" s="122">
        <f>$D$11 / ($D$11 / ($D$5 * $B19^$D$6 * (G$18 * $M$10)^$D$7 / $M$10) + $D$10)</f>
        <v/>
      </c>
      <c r="H19" s="122">
        <f>$D$11 / ($D$11 / ($D$5 * $B19^$D$6 * (H$18 * $M$10)^$D$7 / $M$10) + $D$10)</f>
        <v/>
      </c>
      <c r="I19" s="123">
        <f>$D$11 / ($D$11 / ($D$5 * $B19^$D$6 * (I$18 * $M$10)^$D$7 / $M$10) + $D$10)</f>
        <v/>
      </c>
      <c r="K19" s="124">
        <f>$B$19</f>
        <v/>
      </c>
      <c r="L19" s="125" t="inlineStr">
        <is>
          <t>N/A</t>
        </is>
      </c>
      <c r="M19" s="126" t="inlineStr">
        <is>
          <t>N/A</t>
        </is>
      </c>
      <c r="N19" s="126" t="inlineStr">
        <is>
          <t>N/A</t>
        </is>
      </c>
      <c r="O19" s="126" t="inlineStr">
        <is>
          <t>N/A</t>
        </is>
      </c>
      <c r="P19" s="126" t="inlineStr">
        <is>
          <t>N/A</t>
        </is>
      </c>
      <c r="Q19" s="126" t="inlineStr">
        <is>
          <t>N/A</t>
        </is>
      </c>
      <c r="R19" s="127" t="inlineStr">
        <is>
          <t>N/A</t>
        </is>
      </c>
      <c r="T19" s="124">
        <f>$B$19</f>
        <v/>
      </c>
      <c r="U19" s="125" t="inlineStr">
        <is>
          <t>N/A</t>
        </is>
      </c>
      <c r="V19" s="126" t="inlineStr">
        <is>
          <t>N/A</t>
        </is>
      </c>
      <c r="W19" s="126" t="inlineStr">
        <is>
          <t>N/A</t>
        </is>
      </c>
      <c r="X19" s="126" t="inlineStr">
        <is>
          <t>N/A</t>
        </is>
      </c>
      <c r="Y19" s="126" t="inlineStr">
        <is>
          <t>N/A</t>
        </is>
      </c>
      <c r="Z19" s="126" t="inlineStr">
        <is>
          <t>N/A</t>
        </is>
      </c>
      <c r="AA19" s="127" t="inlineStr">
        <is>
          <t>N/A</t>
        </is>
      </c>
    </row>
    <row r="20">
      <c r="B20" s="128" t="n">
        <v>200000</v>
      </c>
      <c r="C20" s="129">
        <f>$D$11 / ($D$11 / ($D$5 * $B20^$D$6 * (C$18 * $M$10)^$D$7 / $M$10) + $D$10)</f>
        <v/>
      </c>
      <c r="D20" s="130">
        <f>$D$11 / ($D$11 / ($D$5 * $B20^$D$6 * (D$18 * $M$10)^$D$7 / $M$10) + $D$10)</f>
        <v/>
      </c>
      <c r="E20" s="130">
        <f>$D$11 / ($D$11 / ($D$5 * $B20^$D$6 * (E$18 * $M$10)^$D$7 / $M$10) + $D$10)</f>
        <v/>
      </c>
      <c r="F20" s="130">
        <f>$D$11 / ($D$11 / ($D$5 * $B20^$D$6 * (F$18 * $M$10)^$D$7 / $M$10) + $D$10)</f>
        <v/>
      </c>
      <c r="G20" s="130">
        <f>$D$11 / ($D$11 / ($D$5 * $B20^$D$6 * (G$18 * $M$10)^$D$7 / $M$10) + $D$10)</f>
        <v/>
      </c>
      <c r="H20" s="130">
        <f>$D$11 / ($D$11 / ($D$5 * $B20^$D$6 * (H$18 * $M$10)^$D$7 / $M$10) + $D$10)</f>
        <v/>
      </c>
      <c r="I20" s="131">
        <f>$D$11 / ($D$11 / ($D$5 * $B20^$D$6 * (I$18 * $M$10)^$D$7 / $M$10) + $D$10)</f>
        <v/>
      </c>
      <c r="K20" s="132">
        <f>$B$20</f>
        <v/>
      </c>
      <c r="L20" s="133" t="inlineStr">
        <is>
          <t>N/A</t>
        </is>
      </c>
      <c r="M20" s="134" t="inlineStr">
        <is>
          <t>N/A</t>
        </is>
      </c>
      <c r="N20" s="134" t="inlineStr">
        <is>
          <t>N/A</t>
        </is>
      </c>
      <c r="O20" s="134" t="inlineStr">
        <is>
          <t>N/A</t>
        </is>
      </c>
      <c r="P20" s="134" t="inlineStr">
        <is>
          <t>N/A</t>
        </is>
      </c>
      <c r="Q20" s="134" t="inlineStr">
        <is>
          <t>N/A</t>
        </is>
      </c>
      <c r="R20" s="135" t="inlineStr">
        <is>
          <t>N/A</t>
        </is>
      </c>
      <c r="T20" s="132">
        <f>$B$20</f>
        <v/>
      </c>
      <c r="U20" s="133" t="inlineStr">
        <is>
          <t>N/A</t>
        </is>
      </c>
      <c r="V20" s="134" t="inlineStr">
        <is>
          <t>N/A</t>
        </is>
      </c>
      <c r="W20" s="134" t="inlineStr">
        <is>
          <t>N/A</t>
        </is>
      </c>
      <c r="X20" s="134" t="inlineStr">
        <is>
          <t>N/A</t>
        </is>
      </c>
      <c r="Y20" s="134" t="inlineStr">
        <is>
          <t>N/A</t>
        </is>
      </c>
      <c r="Z20" s="134" t="inlineStr">
        <is>
          <t>N/A</t>
        </is>
      </c>
      <c r="AA20" s="135" t="inlineStr">
        <is>
          <t>N/A</t>
        </is>
      </c>
    </row>
    <row r="21">
      <c r="B21" s="128" t="n">
        <v>300000</v>
      </c>
      <c r="C21" s="129">
        <f>$D$11 / ($D$11 / ($D$5 * $B21^$D$6 * (C$18 * $M$10)^$D$7 / $M$10) + $D$10)</f>
        <v/>
      </c>
      <c r="D21" s="130">
        <f>$D$11 / ($D$11 / ($D$5 * $B21^$D$6 * (D$18 * $M$10)^$D$7 / $M$10) + $D$10)</f>
        <v/>
      </c>
      <c r="E21" s="130">
        <f>$D$11 / ($D$11 / ($D$5 * $B21^$D$6 * (E$18 * $M$10)^$D$7 / $M$10) + $D$10)</f>
        <v/>
      </c>
      <c r="F21" s="130">
        <f>$D$11 / ($D$11 / ($D$5 * $B21^$D$6 * (F$18 * $M$10)^$D$7 / $M$10) + $D$10)</f>
        <v/>
      </c>
      <c r="G21" s="130">
        <f>$D$11 / ($D$11 / ($D$5 * $B21^$D$6 * (G$18 * $M$10)^$D$7 / $M$10) + $D$10)</f>
        <v/>
      </c>
      <c r="H21" s="130">
        <f>$D$11 / ($D$11 / ($D$5 * $B21^$D$6 * (H$18 * $M$10)^$D$7 / $M$10) + $D$10)</f>
        <v/>
      </c>
      <c r="I21" s="131">
        <f>$D$11 / ($D$11 / ($D$5 * $B21^$D$6 * (I$18 * $M$10)^$D$7 / $M$10) + $D$10)</f>
        <v/>
      </c>
      <c r="K21" s="132">
        <f>$B$21</f>
        <v/>
      </c>
      <c r="L21" s="133" t="inlineStr">
        <is>
          <t>N/A</t>
        </is>
      </c>
      <c r="M21" s="134" t="inlineStr">
        <is>
          <t>N/A</t>
        </is>
      </c>
      <c r="N21" s="134" t="inlineStr">
        <is>
          <t>N/A</t>
        </is>
      </c>
      <c r="O21" s="134" t="inlineStr">
        <is>
          <t>N/A</t>
        </is>
      </c>
      <c r="P21" s="134" t="inlineStr">
        <is>
          <t>N/A</t>
        </is>
      </c>
      <c r="Q21" s="134" t="inlineStr">
        <is>
          <t>N/A</t>
        </is>
      </c>
      <c r="R21" s="135" t="inlineStr">
        <is>
          <t>N/A</t>
        </is>
      </c>
      <c r="T21" s="132">
        <f>$B$21</f>
        <v/>
      </c>
      <c r="U21" s="133" t="inlineStr">
        <is>
          <t>N/A</t>
        </is>
      </c>
      <c r="V21" s="134" t="inlineStr">
        <is>
          <t>N/A</t>
        </is>
      </c>
      <c r="W21" s="134" t="inlineStr">
        <is>
          <t>N/A</t>
        </is>
      </c>
      <c r="X21" s="134" t="inlineStr">
        <is>
          <t>N/A</t>
        </is>
      </c>
      <c r="Y21" s="134" t="inlineStr">
        <is>
          <t>N/A</t>
        </is>
      </c>
      <c r="Z21" s="134" t="inlineStr">
        <is>
          <t>N/A</t>
        </is>
      </c>
      <c r="AA21" s="135" t="inlineStr">
        <is>
          <t>N/A</t>
        </is>
      </c>
    </row>
    <row r="22">
      <c r="B22" s="128" t="n">
        <v>400000</v>
      </c>
      <c r="C22" s="129">
        <f>$D$11 / ($D$11 / ($D$5 * $B22^$D$6 * (C$18 * $M$10)^$D$7 / $M$10) + $D$10)</f>
        <v/>
      </c>
      <c r="D22" s="130">
        <f>$D$11 / ($D$11 / ($D$5 * $B22^$D$6 * (D$18 * $M$10)^$D$7 / $M$10) + $D$10)</f>
        <v/>
      </c>
      <c r="E22" s="130">
        <f>$D$11 / ($D$11 / ($D$5 * $B22^$D$6 * (E$18 * $M$10)^$D$7 / $M$10) + $D$10)</f>
        <v/>
      </c>
      <c r="F22" s="130">
        <f>$D$11 / ($D$11 / ($D$5 * $B22^$D$6 * (F$18 * $M$10)^$D$7 / $M$10) + $D$10)</f>
        <v/>
      </c>
      <c r="G22" s="130">
        <f>$D$11 / ($D$11 / ($D$5 * $B22^$D$6 * (G$18 * $M$10)^$D$7 / $M$10) + $D$10)</f>
        <v/>
      </c>
      <c r="H22" s="130">
        <f>$D$11 / ($D$11 / ($D$5 * $B22^$D$6 * (H$18 * $M$10)^$D$7 / $M$10) + $D$10)</f>
        <v/>
      </c>
      <c r="I22" s="131">
        <f>$D$11 / ($D$11 / ($D$5 * $B22^$D$6 * (I$18 * $M$10)^$D$7 / $M$10) + $D$10)</f>
        <v/>
      </c>
      <c r="K22" s="132">
        <f>$B$22</f>
        <v/>
      </c>
      <c r="L22" s="133" t="inlineStr">
        <is>
          <t>N/A</t>
        </is>
      </c>
      <c r="M22" s="134" t="inlineStr">
        <is>
          <t>N/A</t>
        </is>
      </c>
      <c r="N22" s="134" t="inlineStr">
        <is>
          <t>N/A</t>
        </is>
      </c>
      <c r="O22" s="134" t="inlineStr">
        <is>
          <t>N/A</t>
        </is>
      </c>
      <c r="P22" s="134" t="inlineStr">
        <is>
          <t>N/A</t>
        </is>
      </c>
      <c r="Q22" s="134" t="inlineStr">
        <is>
          <t>N/A</t>
        </is>
      </c>
      <c r="R22" s="135" t="inlineStr">
        <is>
          <t>N/A</t>
        </is>
      </c>
      <c r="T22" s="132">
        <f>$B$22</f>
        <v/>
      </c>
      <c r="U22" s="133" t="inlineStr">
        <is>
          <t>N/A</t>
        </is>
      </c>
      <c r="V22" s="134" t="inlineStr">
        <is>
          <t>N/A</t>
        </is>
      </c>
      <c r="W22" s="134" t="inlineStr">
        <is>
          <t>N/A</t>
        </is>
      </c>
      <c r="X22" s="134" t="inlineStr">
        <is>
          <t>N/A</t>
        </is>
      </c>
      <c r="Y22" s="134" t="inlineStr">
        <is>
          <t>N/A</t>
        </is>
      </c>
      <c r="Z22" s="134" t="inlineStr">
        <is>
          <t>N/A</t>
        </is>
      </c>
      <c r="AA22" s="135" t="inlineStr">
        <is>
          <t>N/A</t>
        </is>
      </c>
    </row>
    <row r="23">
      <c r="B23" s="128" t="n">
        <v>500000</v>
      </c>
      <c r="C23" s="129">
        <f>$D$11 / ($D$11 / ($D$5 * $B23^$D$6 * (C$18 * $M$10)^$D$7 / $M$10) + $D$10)</f>
        <v/>
      </c>
      <c r="D23" s="130">
        <f>$D$11 / ($D$11 / ($D$5 * $B23^$D$6 * (D$18 * $M$10)^$D$7 / $M$10) + $D$10)</f>
        <v/>
      </c>
      <c r="E23" s="130">
        <f>$D$11 / ($D$11 / ($D$5 * $B23^$D$6 * (E$18 * $M$10)^$D$7 / $M$10) + $D$10)</f>
        <v/>
      </c>
      <c r="F23" s="130">
        <f>$D$11 / ($D$11 / ($D$5 * $B23^$D$6 * (F$18 * $M$10)^$D$7 / $M$10) + $D$10)</f>
        <v/>
      </c>
      <c r="G23" s="130">
        <f>$D$11 / ($D$11 / ($D$5 * $B23^$D$6 * (G$18 * $M$10)^$D$7 / $M$10) + $D$10)</f>
        <v/>
      </c>
      <c r="H23" s="130">
        <f>$D$11 / ($D$11 / ($D$5 * $B23^$D$6 * (H$18 * $M$10)^$D$7 / $M$10) + $D$10)</f>
        <v/>
      </c>
      <c r="I23" s="131">
        <f>$D$11 / ($D$11 / ($D$5 * $B23^$D$6 * (I$18 * $M$10)^$D$7 / $M$10) + $D$10)</f>
        <v/>
      </c>
      <c r="K23" s="132">
        <f>$B$23</f>
        <v/>
      </c>
      <c r="L23" s="129">
        <f>$F$11 / ($F$11 / ($F$5 * $K23^$F$6 * (L$18 * $M$10)^$F$7 / $M$10) + $F$10)</f>
        <v/>
      </c>
      <c r="M23" s="130">
        <f>$F$11 / ($F$11 / ($F$5 * $K23^$F$6 * (M$18 * $M$10)^$F$7 / $M$10) + $F$10)</f>
        <v/>
      </c>
      <c r="N23" s="130">
        <f>$F$11 / ($F$11 / ($F$5 * $K23^$F$6 * (N$18 * $M$10)^$F$7 / $M$10) + $F$10)</f>
        <v/>
      </c>
      <c r="O23" s="130">
        <f>$F$11 / ($F$11 / ($F$5 * $K23^$F$6 * (O$18 * $M$10)^$F$7 / $M$10) + $F$10)</f>
        <v/>
      </c>
      <c r="P23" s="130">
        <f>$F$11 / ($F$11 / ($F$5 * $K23^$F$6 * (P$18 * $M$10)^$F$7 / $M$10) + $F$10)</f>
        <v/>
      </c>
      <c r="Q23" s="130">
        <f>$F$11 / ($F$11 / ($F$5 * $K23^$F$6 * (Q$18 * $M$10)^$F$7 / $M$10) + $F$10)</f>
        <v/>
      </c>
      <c r="R23" s="131">
        <f>$F$11 / ($F$11 / ($F$5 * $K23^$F$6 * (R$18 * $M$10)^$F$7 / $M$10) + $F$10)</f>
        <v/>
      </c>
      <c r="T23" s="132">
        <f>$B$23</f>
        <v/>
      </c>
      <c r="U23" s="133" t="inlineStr">
        <is>
          <t>N/A</t>
        </is>
      </c>
      <c r="V23" s="134" t="inlineStr">
        <is>
          <t>N/A</t>
        </is>
      </c>
      <c r="W23" s="134" t="inlineStr">
        <is>
          <t>N/A</t>
        </is>
      </c>
      <c r="X23" s="134" t="inlineStr">
        <is>
          <t>N/A</t>
        </is>
      </c>
      <c r="Y23" s="134" t="inlineStr">
        <is>
          <t>N/A</t>
        </is>
      </c>
      <c r="Z23" s="134" t="inlineStr">
        <is>
          <t>N/A</t>
        </is>
      </c>
      <c r="AA23" s="135" t="inlineStr">
        <is>
          <t>N/A</t>
        </is>
      </c>
    </row>
    <row r="24">
      <c r="B24" s="128" t="n">
        <v>600000</v>
      </c>
      <c r="C24" s="129">
        <f>$D$11 / ($D$11 / ($D$5 * $B24^$D$6 * (C$18 * $M$10)^$D$7 / $M$10) + $D$10)</f>
        <v/>
      </c>
      <c r="D24" s="130">
        <f>$D$11 / ($D$11 / ($D$5 * $B24^$D$6 * (D$18 * $M$10)^$D$7 / $M$10) + $D$10)</f>
        <v/>
      </c>
      <c r="E24" s="130">
        <f>$D$11 / ($D$11 / ($D$5 * $B24^$D$6 * (E$18 * $M$10)^$D$7 / $M$10) + $D$10)</f>
        <v/>
      </c>
      <c r="F24" s="130">
        <f>$D$11 / ($D$11 / ($D$5 * $B24^$D$6 * (F$18 * $M$10)^$D$7 / $M$10) + $D$10)</f>
        <v/>
      </c>
      <c r="G24" s="130">
        <f>$D$11 / ($D$11 / ($D$5 * $B24^$D$6 * (G$18 * $M$10)^$D$7 / $M$10) + $D$10)</f>
        <v/>
      </c>
      <c r="H24" s="130">
        <f>$D$11 / ($D$11 / ($D$5 * $B24^$D$6 * (H$18 * $M$10)^$D$7 / $M$10) + $D$10)</f>
        <v/>
      </c>
      <c r="I24" s="131">
        <f>$D$11 / ($D$11 / ($D$5 * $B24^$D$6 * (I$18 * $M$10)^$D$7 / $M$10) + $D$10)</f>
        <v/>
      </c>
      <c r="K24" s="132">
        <f>$B$24</f>
        <v/>
      </c>
      <c r="L24" s="129">
        <f>$F$11 / ($F$11 / ($F$5 * $K24^$F$6 * (L$18 * $M$10)^$F$7 / $M$10) + $F$10)</f>
        <v/>
      </c>
      <c r="M24" s="130">
        <f>$F$11 / ($F$11 / ($F$5 * $K24^$F$6 * (M$18 * $M$10)^$F$7 / $M$10) + $F$10)</f>
        <v/>
      </c>
      <c r="N24" s="130">
        <f>$F$11 / ($F$11 / ($F$5 * $K24^$F$6 * (N$18 * $M$10)^$F$7 / $M$10) + $F$10)</f>
        <v/>
      </c>
      <c r="O24" s="130">
        <f>$F$11 / ($F$11 / ($F$5 * $K24^$F$6 * (O$18 * $M$10)^$F$7 / $M$10) + $F$10)</f>
        <v/>
      </c>
      <c r="P24" s="130">
        <f>$F$11 / ($F$11 / ($F$5 * $K24^$F$6 * (P$18 * $M$10)^$F$7 / $M$10) + $F$10)</f>
        <v/>
      </c>
      <c r="Q24" s="130">
        <f>$F$11 / ($F$11 / ($F$5 * $K24^$F$6 * (Q$18 * $M$10)^$F$7 / $M$10) + $F$10)</f>
        <v/>
      </c>
      <c r="R24" s="131">
        <f>$F$11 / ($F$11 / ($F$5 * $K24^$F$6 * (R$18 * $M$10)^$F$7 / $M$10) + $F$10)</f>
        <v/>
      </c>
      <c r="T24" s="132">
        <f>$B$24</f>
        <v/>
      </c>
      <c r="U24" s="133" t="inlineStr">
        <is>
          <t>N/A</t>
        </is>
      </c>
      <c r="V24" s="134" t="inlineStr">
        <is>
          <t>N/A</t>
        </is>
      </c>
      <c r="W24" s="134" t="inlineStr">
        <is>
          <t>N/A</t>
        </is>
      </c>
      <c r="X24" s="134" t="inlineStr">
        <is>
          <t>N/A</t>
        </is>
      </c>
      <c r="Y24" s="134" t="inlineStr">
        <is>
          <t>N/A</t>
        </is>
      </c>
      <c r="Z24" s="134" t="inlineStr">
        <is>
          <t>N/A</t>
        </is>
      </c>
      <c r="AA24" s="135" t="inlineStr">
        <is>
          <t>N/A</t>
        </is>
      </c>
    </row>
    <row r="25">
      <c r="B25" s="128" t="n">
        <v>700000</v>
      </c>
      <c r="C25" s="129">
        <f>$D$11 / ($D$11 / ($D$5 * $B25^$D$6 * (C$18 * $M$10)^$D$7 / $M$10) + $D$10)</f>
        <v/>
      </c>
      <c r="D25" s="130">
        <f>$D$11 / ($D$11 / ($D$5 * $B25^$D$6 * (D$18 * $M$10)^$D$7 / $M$10) + $D$10)</f>
        <v/>
      </c>
      <c r="E25" s="130">
        <f>$D$11 / ($D$11 / ($D$5 * $B25^$D$6 * (E$18 * $M$10)^$D$7 / $M$10) + $D$10)</f>
        <v/>
      </c>
      <c r="F25" s="130">
        <f>$D$11 / ($D$11 / ($D$5 * $B25^$D$6 * (F$18 * $M$10)^$D$7 / $M$10) + $D$10)</f>
        <v/>
      </c>
      <c r="G25" s="130">
        <f>$D$11 / ($D$11 / ($D$5 * $B25^$D$6 * (G$18 * $M$10)^$D$7 / $M$10) + $D$10)</f>
        <v/>
      </c>
      <c r="H25" s="130">
        <f>$D$11 / ($D$11 / ($D$5 * $B25^$D$6 * (H$18 * $M$10)^$D$7 / $M$10) + $D$10)</f>
        <v/>
      </c>
      <c r="I25" s="131">
        <f>$D$11 / ($D$11 / ($D$5 * $B25^$D$6 * (I$18 * $M$10)^$D$7 / $M$10) + $D$10)</f>
        <v/>
      </c>
      <c r="K25" s="132">
        <f>$B$25</f>
        <v/>
      </c>
      <c r="L25" s="129">
        <f>$F$11 / ($F$11 / ($F$5 * $K25^$F$6 * (L$18 * $M$10)^$F$7 / $M$10) + $F$10)</f>
        <v/>
      </c>
      <c r="M25" s="130">
        <f>$F$11 / ($F$11 / ($F$5 * $K25^$F$6 * (M$18 * $M$10)^$F$7 / $M$10) + $F$10)</f>
        <v/>
      </c>
      <c r="N25" s="130">
        <f>$F$11 / ($F$11 / ($F$5 * $K25^$F$6 * (N$18 * $M$10)^$F$7 / $M$10) + $F$10)</f>
        <v/>
      </c>
      <c r="O25" s="130">
        <f>$F$11 / ($F$11 / ($F$5 * $K25^$F$6 * (O$18 * $M$10)^$F$7 / $M$10) + $F$10)</f>
        <v/>
      </c>
      <c r="P25" s="130">
        <f>$F$11 / ($F$11 / ($F$5 * $K25^$F$6 * (P$18 * $M$10)^$F$7 / $M$10) + $F$10)</f>
        <v/>
      </c>
      <c r="Q25" s="130">
        <f>$F$11 / ($F$11 / ($F$5 * $K25^$F$6 * (Q$18 * $M$10)^$F$7 / $M$10) + $F$10)</f>
        <v/>
      </c>
      <c r="R25" s="131">
        <f>$F$11 / ($F$11 / ($F$5 * $K25^$F$6 * (R$18 * $M$10)^$F$7 / $M$10) + $F$10)</f>
        <v/>
      </c>
      <c r="T25" s="132">
        <f>$B$25</f>
        <v/>
      </c>
      <c r="U25" s="133" t="inlineStr">
        <is>
          <t>N/A</t>
        </is>
      </c>
      <c r="V25" s="134" t="inlineStr">
        <is>
          <t>N/A</t>
        </is>
      </c>
      <c r="W25" s="134" t="inlineStr">
        <is>
          <t>N/A</t>
        </is>
      </c>
      <c r="X25" s="134" t="inlineStr">
        <is>
          <t>N/A</t>
        </is>
      </c>
      <c r="Y25" s="134" t="inlineStr">
        <is>
          <t>N/A</t>
        </is>
      </c>
      <c r="Z25" s="134" t="inlineStr">
        <is>
          <t>N/A</t>
        </is>
      </c>
      <c r="AA25" s="135" t="inlineStr">
        <is>
          <t>N/A</t>
        </is>
      </c>
    </row>
    <row r="26">
      <c r="B26" s="128" t="n">
        <v>800000</v>
      </c>
      <c r="C26" s="129">
        <f>$D$11 / ($D$11 / ($D$5 * $B26^$D$6 * (C$18 * $M$10)^$D$7 / $M$10) + $D$10)</f>
        <v/>
      </c>
      <c r="D26" s="130">
        <f>$D$11 / ($D$11 / ($D$5 * $B26^$D$6 * (D$18 * $M$10)^$D$7 / $M$10) + $D$10)</f>
        <v/>
      </c>
      <c r="E26" s="130">
        <f>$D$11 / ($D$11 / ($D$5 * $B26^$D$6 * (E$18 * $M$10)^$D$7 / $M$10) + $D$10)</f>
        <v/>
      </c>
      <c r="F26" s="130">
        <f>$D$11 / ($D$11 / ($D$5 * $B26^$D$6 * (F$18 * $M$10)^$D$7 / $M$10) + $D$10)</f>
        <v/>
      </c>
      <c r="G26" s="130">
        <f>$D$11 / ($D$11 / ($D$5 * $B26^$D$6 * (G$18 * $M$10)^$D$7 / $M$10) + $D$10)</f>
        <v/>
      </c>
      <c r="H26" s="130">
        <f>$D$11 / ($D$11 / ($D$5 * $B26^$D$6 * (H$18 * $M$10)^$D$7 / $M$10) + $D$10)</f>
        <v/>
      </c>
      <c r="I26" s="131">
        <f>$D$11 / ($D$11 / ($D$5 * $B26^$D$6 * (I$18 * $M$10)^$D$7 / $M$10) + $D$10)</f>
        <v/>
      </c>
      <c r="K26" s="132">
        <f>$B$26</f>
        <v/>
      </c>
      <c r="L26" s="129">
        <f>$F$11 / ($F$11 / ($F$5 * $K26^$F$6 * (L$18 * $M$10)^$F$7 / $M$10) + $F$10)</f>
        <v/>
      </c>
      <c r="M26" s="130">
        <f>$F$11 / ($F$11 / ($F$5 * $K26^$F$6 * (M$18 * $M$10)^$F$7 / $M$10) + $F$10)</f>
        <v/>
      </c>
      <c r="N26" s="130">
        <f>$F$11 / ($F$11 / ($F$5 * $K26^$F$6 * (N$18 * $M$10)^$F$7 / $M$10) + $F$10)</f>
        <v/>
      </c>
      <c r="O26" s="130">
        <f>$F$11 / ($F$11 / ($F$5 * $K26^$F$6 * (O$18 * $M$10)^$F$7 / $M$10) + $F$10)</f>
        <v/>
      </c>
      <c r="P26" s="130">
        <f>$F$11 / ($F$11 / ($F$5 * $K26^$F$6 * (P$18 * $M$10)^$F$7 / $M$10) + $F$10)</f>
        <v/>
      </c>
      <c r="Q26" s="130">
        <f>$F$11 / ($F$11 / ($F$5 * $K26^$F$6 * (Q$18 * $M$10)^$F$7 / $M$10) + $F$10)</f>
        <v/>
      </c>
      <c r="R26" s="131">
        <f>$F$11 / ($F$11 / ($F$5 * $K26^$F$6 * (R$18 * $M$10)^$F$7 / $M$10) + $F$10)</f>
        <v/>
      </c>
      <c r="T26" s="132">
        <f>$B$26</f>
        <v/>
      </c>
      <c r="U26" s="133" t="inlineStr">
        <is>
          <t>N/A</t>
        </is>
      </c>
      <c r="V26" s="134" t="inlineStr">
        <is>
          <t>N/A</t>
        </is>
      </c>
      <c r="W26" s="134" t="inlineStr">
        <is>
          <t>N/A</t>
        </is>
      </c>
      <c r="X26" s="134" t="inlineStr">
        <is>
          <t>N/A</t>
        </is>
      </c>
      <c r="Y26" s="134" t="inlineStr">
        <is>
          <t>N/A</t>
        </is>
      </c>
      <c r="Z26" s="134" t="inlineStr">
        <is>
          <t>N/A</t>
        </is>
      </c>
      <c r="AA26" s="135" t="inlineStr">
        <is>
          <t>N/A</t>
        </is>
      </c>
    </row>
    <row r="27">
      <c r="B27" s="128" t="n">
        <v>900000</v>
      </c>
      <c r="C27" s="129">
        <f>$D$11 / ($D$11 / ($D$5 * $B27^$D$6 * (C$18 * $M$10)^$D$7 / $M$10) + $D$10)</f>
        <v/>
      </c>
      <c r="D27" s="130">
        <f>$D$11 / ($D$11 / ($D$5 * $B27^$D$6 * (D$18 * $M$10)^$D$7 / $M$10) + $D$10)</f>
        <v/>
      </c>
      <c r="E27" s="130">
        <f>$D$11 / ($D$11 / ($D$5 * $B27^$D$6 * (E$18 * $M$10)^$D$7 / $M$10) + $D$10)</f>
        <v/>
      </c>
      <c r="F27" s="130">
        <f>$D$11 / ($D$11 / ($D$5 * $B27^$D$6 * (F$18 * $M$10)^$D$7 / $M$10) + $D$10)</f>
        <v/>
      </c>
      <c r="G27" s="130">
        <f>$D$11 / ($D$11 / ($D$5 * $B27^$D$6 * (G$18 * $M$10)^$D$7 / $M$10) + $D$10)</f>
        <v/>
      </c>
      <c r="H27" s="130">
        <f>$D$11 / ($D$11 / ($D$5 * $B27^$D$6 * (H$18 * $M$10)^$D$7 / $M$10) + $D$10)</f>
        <v/>
      </c>
      <c r="I27" s="131">
        <f>$D$11 / ($D$11 / ($D$5 * $B27^$D$6 * (I$18 * $M$10)^$D$7 / $M$10) + $D$10)</f>
        <v/>
      </c>
      <c r="K27" s="132">
        <f>$B$27</f>
        <v/>
      </c>
      <c r="L27" s="129">
        <f>$F$11 / ($F$11 / ($F$5 * $K27^$F$6 * (L$18 * $M$10)^$F$7 / $M$10) + $F$10)</f>
        <v/>
      </c>
      <c r="M27" s="130">
        <f>$F$11 / ($F$11 / ($F$5 * $K27^$F$6 * (M$18 * $M$10)^$F$7 / $M$10) + $F$10)</f>
        <v/>
      </c>
      <c r="N27" s="130">
        <f>$F$11 / ($F$11 / ($F$5 * $K27^$F$6 * (N$18 * $M$10)^$F$7 / $M$10) + $F$10)</f>
        <v/>
      </c>
      <c r="O27" s="130">
        <f>$F$11 / ($F$11 / ($F$5 * $K27^$F$6 * (O$18 * $M$10)^$F$7 / $M$10) + $F$10)</f>
        <v/>
      </c>
      <c r="P27" s="130">
        <f>$F$11 / ($F$11 / ($F$5 * $K27^$F$6 * (P$18 * $M$10)^$F$7 / $M$10) + $F$10)</f>
        <v/>
      </c>
      <c r="Q27" s="130">
        <f>$F$11 / ($F$11 / ($F$5 * $K27^$F$6 * (Q$18 * $M$10)^$F$7 / $M$10) + $F$10)</f>
        <v/>
      </c>
      <c r="R27" s="131">
        <f>$F$11 / ($F$11 / ($F$5 * $K27^$F$6 * (R$18 * $M$10)^$F$7 / $M$10) + $F$10)</f>
        <v/>
      </c>
      <c r="T27" s="132">
        <f>$B$27</f>
        <v/>
      </c>
      <c r="U27" s="133" t="inlineStr">
        <is>
          <t>N/A</t>
        </is>
      </c>
      <c r="V27" s="134" t="inlineStr">
        <is>
          <t>N/A</t>
        </is>
      </c>
      <c r="W27" s="134" t="inlineStr">
        <is>
          <t>N/A</t>
        </is>
      </c>
      <c r="X27" s="134" t="inlineStr">
        <is>
          <t>N/A</t>
        </is>
      </c>
      <c r="Y27" s="134" t="inlineStr">
        <is>
          <t>N/A</t>
        </is>
      </c>
      <c r="Z27" s="134" t="inlineStr">
        <is>
          <t>N/A</t>
        </is>
      </c>
      <c r="AA27" s="135" t="inlineStr">
        <is>
          <t>N/A</t>
        </is>
      </c>
    </row>
    <row r="28">
      <c r="B28" s="128" t="n">
        <v>1000000</v>
      </c>
      <c r="C28" s="129">
        <f>$D$11 / ($D$11 / ($D$5 * $B28^$D$6 * (C$18 * $M$10)^$D$7 / $M$10) + $D$10)</f>
        <v/>
      </c>
      <c r="D28" s="130">
        <f>$D$11 / ($D$11 / ($D$5 * $B28^$D$6 * (D$18 * $M$10)^$D$7 / $M$10) + $D$10)</f>
        <v/>
      </c>
      <c r="E28" s="130">
        <f>$D$11 / ($D$11 / ($D$5 * $B28^$D$6 * (E$18 * $M$10)^$D$7 / $M$10) + $D$10)</f>
        <v/>
      </c>
      <c r="F28" s="130">
        <f>$D$11 / ($D$11 / ($D$5 * $B28^$D$6 * (F$18 * $M$10)^$D$7 / $M$10) + $D$10)</f>
        <v/>
      </c>
      <c r="G28" s="130">
        <f>$D$11 / ($D$11 / ($D$5 * $B28^$D$6 * (G$18 * $M$10)^$D$7 / $M$10) + $D$10)</f>
        <v/>
      </c>
      <c r="H28" s="130">
        <f>$D$11 / ($D$11 / ($D$5 * $B28^$D$6 * (H$18 * $M$10)^$D$7 / $M$10) + $D$10)</f>
        <v/>
      </c>
      <c r="I28" s="131">
        <f>$D$11 / ($D$11 / ($D$5 * $B28^$D$6 * (I$18 * $M$10)^$D$7 / $M$10) + $D$10)</f>
        <v/>
      </c>
      <c r="K28" s="132">
        <f>$B$28</f>
        <v/>
      </c>
      <c r="L28" s="129">
        <f>$F$11 / ($F$11 / ($F$5 * $K28^$F$6 * (L$18 * $M$10)^$F$7 / $M$10) + $F$10)</f>
        <v/>
      </c>
      <c r="M28" s="130">
        <f>$F$11 / ($F$11 / ($F$5 * $K28^$F$6 * (M$18 * $M$10)^$F$7 / $M$10) + $F$10)</f>
        <v/>
      </c>
      <c r="N28" s="130">
        <f>$F$11 / ($F$11 / ($F$5 * $K28^$F$6 * (N$18 * $M$10)^$F$7 / $M$10) + $F$10)</f>
        <v/>
      </c>
      <c r="O28" s="130">
        <f>$F$11 / ($F$11 / ($F$5 * $K28^$F$6 * (O$18 * $M$10)^$F$7 / $M$10) + $F$10)</f>
        <v/>
      </c>
      <c r="P28" s="130">
        <f>$F$11 / ($F$11 / ($F$5 * $K28^$F$6 * (P$18 * $M$10)^$F$7 / $M$10) + $F$10)</f>
        <v/>
      </c>
      <c r="Q28" s="130">
        <f>$F$11 / ($F$11 / ($F$5 * $K28^$F$6 * (Q$18 * $M$10)^$F$7 / $M$10) + $F$10)</f>
        <v/>
      </c>
      <c r="R28" s="131">
        <f>$F$11 / ($F$11 / ($F$5 * $K28^$F$6 * (R$18 * $M$10)^$F$7 / $M$10) + $F$10)</f>
        <v/>
      </c>
      <c r="T28" s="132">
        <f>$B$28</f>
        <v/>
      </c>
      <c r="U28" s="133" t="inlineStr">
        <is>
          <t>N/A</t>
        </is>
      </c>
      <c r="V28" s="134" t="inlineStr">
        <is>
          <t>N/A</t>
        </is>
      </c>
      <c r="W28" s="134" t="inlineStr">
        <is>
          <t>N/A</t>
        </is>
      </c>
      <c r="X28" s="134" t="inlineStr">
        <is>
          <t>N/A</t>
        </is>
      </c>
      <c r="Y28" s="134" t="inlineStr">
        <is>
          <t>N/A</t>
        </is>
      </c>
      <c r="Z28" s="134" t="inlineStr">
        <is>
          <t>N/A</t>
        </is>
      </c>
      <c r="AA28" s="135" t="inlineStr">
        <is>
          <t>N/A</t>
        </is>
      </c>
    </row>
    <row r="29">
      <c r="B29" s="128" t="n">
        <v>2000000</v>
      </c>
      <c r="C29" s="129">
        <f>$D$11 / ($D$11 / ($D$5 * $B29^$D$6 * (C$18 * $M$10)^$D$7 / $M$10) + $D$10)</f>
        <v/>
      </c>
      <c r="D29" s="130">
        <f>$D$11 / ($D$11 / ($D$5 * $B29^$D$6 * (D$18 * $M$10)^$D$7 / $M$10) + $D$10)</f>
        <v/>
      </c>
      <c r="E29" s="130">
        <f>$D$11 / ($D$11 / ($D$5 * $B29^$D$6 * (E$18 * $M$10)^$D$7 / $M$10) + $D$10)</f>
        <v/>
      </c>
      <c r="F29" s="130">
        <f>$D$11 / ($D$11 / ($D$5 * $B29^$D$6 * (F$18 * $M$10)^$D$7 / $M$10) + $D$10)</f>
        <v/>
      </c>
      <c r="G29" s="130">
        <f>$D$11 / ($D$11 / ($D$5 * $B29^$D$6 * (G$18 * $M$10)^$D$7 / $M$10) + $D$10)</f>
        <v/>
      </c>
      <c r="H29" s="130">
        <f>$D$11 / ($D$11 / ($D$5 * $B29^$D$6 * (H$18 * $M$10)^$D$7 / $M$10) + $D$10)</f>
        <v/>
      </c>
      <c r="I29" s="131">
        <f>$D$11 / ($D$11 / ($D$5 * $B29^$D$6 * (I$18 * $M$10)^$D$7 / $M$10) + $D$10)</f>
        <v/>
      </c>
      <c r="K29" s="132">
        <f>$B$29</f>
        <v/>
      </c>
      <c r="L29" s="129">
        <f>$F$11 / ($F$11 / ($F$5 * $K29^$F$6 * (L$18 * $M$10)^$F$7 / $M$10) + $F$10)</f>
        <v/>
      </c>
      <c r="M29" s="130">
        <f>$F$11 / ($F$11 / ($F$5 * $K29^$F$6 * (M$18 * $M$10)^$F$7 / $M$10) + $F$10)</f>
        <v/>
      </c>
      <c r="N29" s="130">
        <f>$F$11 / ($F$11 / ($F$5 * $K29^$F$6 * (N$18 * $M$10)^$F$7 / $M$10) + $F$10)</f>
        <v/>
      </c>
      <c r="O29" s="130">
        <f>$F$11 / ($F$11 / ($F$5 * $K29^$F$6 * (O$18 * $M$10)^$F$7 / $M$10) + $F$10)</f>
        <v/>
      </c>
      <c r="P29" s="130">
        <f>$F$11 / ($F$11 / ($F$5 * $K29^$F$6 * (P$18 * $M$10)^$F$7 / $M$10) + $F$10)</f>
        <v/>
      </c>
      <c r="Q29" s="130">
        <f>$F$11 / ($F$11 / ($F$5 * $K29^$F$6 * (Q$18 * $M$10)^$F$7 / $M$10) + $F$10)</f>
        <v/>
      </c>
      <c r="R29" s="131">
        <f>$F$11 / ($F$11 / ($F$5 * $K29^$F$6 * (R$18 * $M$10)^$F$7 / $M$10) + $F$10)</f>
        <v/>
      </c>
      <c r="T29" s="132">
        <f>$B$29</f>
        <v/>
      </c>
      <c r="U29" s="133" t="inlineStr">
        <is>
          <t>N/A</t>
        </is>
      </c>
      <c r="V29" s="134" t="inlineStr">
        <is>
          <t>N/A</t>
        </is>
      </c>
      <c r="W29" s="134" t="inlineStr">
        <is>
          <t>N/A</t>
        </is>
      </c>
      <c r="X29" s="134" t="inlineStr">
        <is>
          <t>N/A</t>
        </is>
      </c>
      <c r="Y29" s="134" t="inlineStr">
        <is>
          <t>N/A</t>
        </is>
      </c>
      <c r="Z29" s="134" t="inlineStr">
        <is>
          <t>N/A</t>
        </is>
      </c>
      <c r="AA29" s="135" t="inlineStr">
        <is>
          <t>N/A</t>
        </is>
      </c>
    </row>
    <row r="30">
      <c r="B30" s="128" t="n">
        <v>3000000</v>
      </c>
      <c r="C30" s="129">
        <f>$D$11 / ($D$11 / ($D$5 * $B30^$D$6 * (C$18 * $M$10)^$D$7 / $M$10) + $D$10)</f>
        <v/>
      </c>
      <c r="D30" s="130">
        <f>$D$11 / ($D$11 / ($D$5 * $B30^$D$6 * (D$18 * $M$10)^$D$7 / $M$10) + $D$10)</f>
        <v/>
      </c>
      <c r="E30" s="130">
        <f>$D$11 / ($D$11 / ($D$5 * $B30^$D$6 * (E$18 * $M$10)^$D$7 / $M$10) + $D$10)</f>
        <v/>
      </c>
      <c r="F30" s="130">
        <f>$D$11 / ($D$11 / ($D$5 * $B30^$D$6 * (F$18 * $M$10)^$D$7 / $M$10) + $D$10)</f>
        <v/>
      </c>
      <c r="G30" s="130">
        <f>$D$11 / ($D$11 / ($D$5 * $B30^$D$6 * (G$18 * $M$10)^$D$7 / $M$10) + $D$10)</f>
        <v/>
      </c>
      <c r="H30" s="130">
        <f>$D$11 / ($D$11 / ($D$5 * $B30^$D$6 * (H$18 * $M$10)^$D$7 / $M$10) + $D$10)</f>
        <v/>
      </c>
      <c r="I30" s="131">
        <f>$D$11 / ($D$11 / ($D$5 * $B30^$D$6 * (I$18 * $M$10)^$D$7 / $M$10) + $D$10)</f>
        <v/>
      </c>
      <c r="K30" s="132">
        <f>$B$30</f>
        <v/>
      </c>
      <c r="L30" s="129">
        <f>$F$11 / ($F$11 / ($F$5 * $K30^$F$6 * (L$18 * $M$10)^$F$7 / $M$10) + $F$10)</f>
        <v/>
      </c>
      <c r="M30" s="130">
        <f>$F$11 / ($F$11 / ($F$5 * $K30^$F$6 * (M$18 * $M$10)^$F$7 / $M$10) + $F$10)</f>
        <v/>
      </c>
      <c r="N30" s="130">
        <f>$F$11 / ($F$11 / ($F$5 * $K30^$F$6 * (N$18 * $M$10)^$F$7 / $M$10) + $F$10)</f>
        <v/>
      </c>
      <c r="O30" s="130">
        <f>$F$11 / ($F$11 / ($F$5 * $K30^$F$6 * (O$18 * $M$10)^$F$7 / $M$10) + $F$10)</f>
        <v/>
      </c>
      <c r="P30" s="130">
        <f>$F$11 / ($F$11 / ($F$5 * $K30^$F$6 * (P$18 * $M$10)^$F$7 / $M$10) + $F$10)</f>
        <v/>
      </c>
      <c r="Q30" s="130">
        <f>$F$11 / ($F$11 / ($F$5 * $K30^$F$6 * (Q$18 * $M$10)^$F$7 / $M$10) + $F$10)</f>
        <v/>
      </c>
      <c r="R30" s="131">
        <f>$F$11 / ($F$11 / ($F$5 * $K30^$F$6 * (R$18 * $M$10)^$F$7 / $M$10) + $F$10)</f>
        <v/>
      </c>
      <c r="T30" s="132">
        <f>$B$30</f>
        <v/>
      </c>
      <c r="U30" s="129">
        <f>$H$11 / ($H$11 / ($H$5 * $T30^$H$6 * (U$18 * $M$10)^$H$7 / $M$10) + $H$10)</f>
        <v/>
      </c>
      <c r="V30" s="130">
        <f>$H$11 / ($H$11 / ($H$5 * $T30^$H$6 * (V$18 * $M$10)^$H$7 / $M$10) + $H$10)</f>
        <v/>
      </c>
      <c r="W30" s="130">
        <f>$H$11 / ($H$11 / ($H$5 * $T30^$H$6 * (W$18 * $M$10)^$H$7 / $M$10) + $H$10)</f>
        <v/>
      </c>
      <c r="X30" s="130">
        <f>$H$11 / ($H$11 / ($H$5 * $T30^$H$6 * (X$18 * $M$10)^$H$7 / $M$10) + $H$10)</f>
        <v/>
      </c>
      <c r="Y30" s="130">
        <f>$H$11 / ($H$11 / ($H$5 * $T30^$H$6 * (Y$18 * $M$10)^$H$7 / $M$10) + $H$10)</f>
        <v/>
      </c>
      <c r="Z30" s="130">
        <f>$H$11 / ($H$11 / ($H$5 * $T30^$H$6 * (Z$18 * $M$10)^$H$7 / $M$10) + $H$10)</f>
        <v/>
      </c>
      <c r="AA30" s="131">
        <f>$H$11 / ($H$11 / ($H$5 * $T30^$H$6 * (AA$18 * $M$10)^$H$7 / $M$10) + $H$10)</f>
        <v/>
      </c>
    </row>
    <row r="31">
      <c r="B31" s="128" t="n">
        <v>4000000</v>
      </c>
      <c r="C31" s="129">
        <f>$D$11 / ($D$11 / ($D$5 * $B31^$D$6 * (C$18 * $M$10)^$D$7 / $M$10) + $D$10)</f>
        <v/>
      </c>
      <c r="D31" s="130">
        <f>$D$11 / ($D$11 / ($D$5 * $B31^$D$6 * (D$18 * $M$10)^$D$7 / $M$10) + $D$10)</f>
        <v/>
      </c>
      <c r="E31" s="130">
        <f>$D$11 / ($D$11 / ($D$5 * $B31^$D$6 * (E$18 * $M$10)^$D$7 / $M$10) + $D$10)</f>
        <v/>
      </c>
      <c r="F31" s="130">
        <f>$D$11 / ($D$11 / ($D$5 * $B31^$D$6 * (F$18 * $M$10)^$D$7 / $M$10) + $D$10)</f>
        <v/>
      </c>
      <c r="G31" s="130">
        <f>$D$11 / ($D$11 / ($D$5 * $B31^$D$6 * (G$18 * $M$10)^$D$7 / $M$10) + $D$10)</f>
        <v/>
      </c>
      <c r="H31" s="130">
        <f>$D$11 / ($D$11 / ($D$5 * $B31^$D$6 * (H$18 * $M$10)^$D$7 / $M$10) + $D$10)</f>
        <v/>
      </c>
      <c r="I31" s="131">
        <f>$D$11 / ($D$11 / ($D$5 * $B31^$D$6 * (I$18 * $M$10)^$D$7 / $M$10) + $D$10)</f>
        <v/>
      </c>
      <c r="K31" s="132">
        <f>$B$31</f>
        <v/>
      </c>
      <c r="L31" s="129">
        <f>$F$11 / ($F$11 / ($F$5 * $K31^$F$6 * (L$18 * $M$10)^$F$7 / $M$10) + $F$10)</f>
        <v/>
      </c>
      <c r="M31" s="130">
        <f>$F$11 / ($F$11 / ($F$5 * $K31^$F$6 * (M$18 * $M$10)^$F$7 / $M$10) + $F$10)</f>
        <v/>
      </c>
      <c r="N31" s="130">
        <f>$F$11 / ($F$11 / ($F$5 * $K31^$F$6 * (N$18 * $M$10)^$F$7 / $M$10) + $F$10)</f>
        <v/>
      </c>
      <c r="O31" s="130">
        <f>$F$11 / ($F$11 / ($F$5 * $K31^$F$6 * (O$18 * $M$10)^$F$7 / $M$10) + $F$10)</f>
        <v/>
      </c>
      <c r="P31" s="130">
        <f>$F$11 / ($F$11 / ($F$5 * $K31^$F$6 * (P$18 * $M$10)^$F$7 / $M$10) + $F$10)</f>
        <v/>
      </c>
      <c r="Q31" s="130">
        <f>$F$11 / ($F$11 / ($F$5 * $K31^$F$6 * (Q$18 * $M$10)^$F$7 / $M$10) + $F$10)</f>
        <v/>
      </c>
      <c r="R31" s="131">
        <f>$F$11 / ($F$11 / ($F$5 * $K31^$F$6 * (R$18 * $M$10)^$F$7 / $M$10) + $F$10)</f>
        <v/>
      </c>
      <c r="T31" s="132">
        <f>$B$31</f>
        <v/>
      </c>
      <c r="U31" s="129">
        <f>$H$11 / ($H$11 / ($H$5 * $T31^$H$6 * (U$18 * $M$10)^$H$7 / $M$10) + $H$10)</f>
        <v/>
      </c>
      <c r="V31" s="130">
        <f>$H$11 / ($H$11 / ($H$5 * $T31^$H$6 * (V$18 * $M$10)^$H$7 / $M$10) + $H$10)</f>
        <v/>
      </c>
      <c r="W31" s="130">
        <f>$H$11 / ($H$11 / ($H$5 * $T31^$H$6 * (W$18 * $M$10)^$H$7 / $M$10) + $H$10)</f>
        <v/>
      </c>
      <c r="X31" s="130">
        <f>$H$11 / ($H$11 / ($H$5 * $T31^$H$6 * (X$18 * $M$10)^$H$7 / $M$10) + $H$10)</f>
        <v/>
      </c>
      <c r="Y31" s="130">
        <f>$H$11 / ($H$11 / ($H$5 * $T31^$H$6 * (Y$18 * $M$10)^$H$7 / $M$10) + $H$10)</f>
        <v/>
      </c>
      <c r="Z31" s="130">
        <f>$H$11 / ($H$11 / ($H$5 * $T31^$H$6 * (Z$18 * $M$10)^$H$7 / $M$10) + $H$10)</f>
        <v/>
      </c>
      <c r="AA31" s="131">
        <f>$H$11 / ($H$11 / ($H$5 * $T31^$H$6 * (AA$18 * $M$10)^$H$7 / $M$10) + $H$10)</f>
        <v/>
      </c>
    </row>
    <row r="32" ht="14" customHeight="1" thickBot="1">
      <c r="B32" s="136" t="n">
        <v>5000000</v>
      </c>
      <c r="C32" s="137">
        <f>$D$11 / ($D$11 / ($D$5 * $B32^$D$6 * (C$18 * $M$10)^$D$7 / $M$10) + $D$10)</f>
        <v/>
      </c>
      <c r="D32" s="138">
        <f>$D$11 / ($D$11 / ($D$5 * $B32^$D$6 * (D$18 * $M$10)^$D$7 / $M$10) + $D$10)</f>
        <v/>
      </c>
      <c r="E32" s="138">
        <f>$D$11 / ($D$11 / ($D$5 * $B32^$D$6 * (E$18 * $M$10)^$D$7 / $M$10) + $D$10)</f>
        <v/>
      </c>
      <c r="F32" s="138">
        <f>$D$11 / ($D$11 / ($D$5 * $B32^$D$6 * (F$18 * $M$10)^$D$7 / $M$10) + $D$10)</f>
        <v/>
      </c>
      <c r="G32" s="138">
        <f>$D$11 / ($D$11 / ($D$5 * $B32^$D$6 * (G$18 * $M$10)^$D$7 / $M$10) + $D$10)</f>
        <v/>
      </c>
      <c r="H32" s="138">
        <f>$D$11 / ($D$11 / ($D$5 * $B32^$D$6 * (H$18 * $M$10)^$D$7 / $M$10) + $D$10)</f>
        <v/>
      </c>
      <c r="I32" s="139">
        <f>$D$11 / ($D$11 / ($D$5 * $B32^$D$6 * (I$18 * $M$10)^$D$7 / $M$10) + $D$10)</f>
        <v/>
      </c>
      <c r="K32" s="140">
        <f>$B$32</f>
        <v/>
      </c>
      <c r="L32" s="137">
        <f>$F$11 / ($F$11 / ($F$5 * $K32^$F$6 * (L$18 * $M$10)^$F$7 / $M$10) + $F$10)</f>
        <v/>
      </c>
      <c r="M32" s="138">
        <f>$F$11 / ($F$11 / ($F$5 * $K32^$F$6 * (M$18 * $M$10)^$F$7 / $M$10) + $F$10)</f>
        <v/>
      </c>
      <c r="N32" s="138">
        <f>$F$11 / ($F$11 / ($F$5 * $K32^$F$6 * (N$18 * $M$10)^$F$7 / $M$10) + $F$10)</f>
        <v/>
      </c>
      <c r="O32" s="138">
        <f>$F$11 / ($F$11 / ($F$5 * $K32^$F$6 * (O$18 * $M$10)^$F$7 / $M$10) + $F$10)</f>
        <v/>
      </c>
      <c r="P32" s="138">
        <f>$F$11 / ($F$11 / ($F$5 * $K32^$F$6 * (P$18 * $M$10)^$F$7 / $M$10) + $F$10)</f>
        <v/>
      </c>
      <c r="Q32" s="138">
        <f>$F$11 / ($F$11 / ($F$5 * $K32^$F$6 * (Q$18 * $M$10)^$F$7 / $M$10) + $F$10)</f>
        <v/>
      </c>
      <c r="R32" s="139">
        <f>$F$11 / ($F$11 / ($F$5 * $K32^$F$6 * (R$18 * $M$10)^$F$7 / $M$10) + $F$10)</f>
        <v/>
      </c>
      <c r="T32" s="140">
        <f>$B$32</f>
        <v/>
      </c>
      <c r="U32" s="137">
        <f>$H$11 / ($H$11 / ($H$5 * $T32^$H$6 * (U$18 * $M$10)^$H$7 / $M$10) + $H$10)</f>
        <v/>
      </c>
      <c r="V32" s="138">
        <f>$H$11 / ($H$11 / ($H$5 * $T32^$H$6 * (V$18 * $M$10)^$H$7 / $M$10) + $H$10)</f>
        <v/>
      </c>
      <c r="W32" s="138">
        <f>$H$11 / ($H$11 / ($H$5 * $T32^$H$6 * (W$18 * $M$10)^$H$7 / $M$10) + $H$10)</f>
        <v/>
      </c>
      <c r="X32" s="138">
        <f>$H$11 / ($H$11 / ($H$5 * $T32^$H$6 * (X$18 * $M$10)^$H$7 / $M$10) + $H$10)</f>
        <v/>
      </c>
      <c r="Y32" s="138">
        <f>$H$11 / ($H$11 / ($H$5 * $T32^$H$6 * (Y$18 * $M$10)^$H$7 / $M$10) + $H$10)</f>
        <v/>
      </c>
      <c r="Z32" s="138">
        <f>$H$11 / ($H$11 / ($H$5 * $T32^$H$6 * (Z$18 * $M$10)^$H$7 / $M$10) + $H$10)</f>
        <v/>
      </c>
      <c r="AA32" s="139">
        <f>$H$11 / ($H$11 / ($H$5 * $T32^$H$6 * (AA$18 * $M$10)^$H$7 / $M$10) + $H$10)</f>
        <v/>
      </c>
    </row>
    <row r="33">
      <c r="B33" s="2" t="n"/>
      <c r="C33" s="2" t="n"/>
      <c r="D33" s="2" t="n"/>
      <c r="E33" s="2" t="n"/>
      <c r="F33" s="2" t="n"/>
      <c r="G33" s="2" t="n"/>
      <c r="H33" s="2" t="n"/>
      <c r="I33" s="2" t="n"/>
      <c r="K33" s="2" t="n"/>
      <c r="L33" s="2" t="n"/>
      <c r="M33" s="2" t="n"/>
      <c r="N33" s="2" t="n"/>
      <c r="O33" s="2" t="n"/>
      <c r="P33" s="2" t="n"/>
      <c r="Q33" s="2" t="n"/>
      <c r="R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B34" s="2" t="n"/>
      <c r="C34" s="113" t="inlineStr">
        <is>
          <t>Manufacturing Overhead per unit</t>
        </is>
      </c>
      <c r="D34" s="93" t="n"/>
      <c r="E34" s="93" t="n"/>
      <c r="F34" s="93" t="n"/>
      <c r="G34" s="93" t="n"/>
      <c r="H34" s="93" t="n"/>
      <c r="I34" s="94" t="n"/>
      <c r="K34" s="2" t="n"/>
      <c r="L34" s="113" t="inlineStr">
        <is>
          <t>Manufacturing Overhead per unit</t>
        </is>
      </c>
      <c r="M34" s="93" t="n"/>
      <c r="N34" s="93" t="n"/>
      <c r="O34" s="93" t="n"/>
      <c r="P34" s="93" t="n"/>
      <c r="Q34" s="93" t="n"/>
      <c r="R34" s="94" t="n"/>
      <c r="T34" s="2" t="n"/>
      <c r="U34" s="113" t="inlineStr">
        <is>
          <t>Manufacturing Overhead per unit</t>
        </is>
      </c>
      <c r="V34" s="93" t="n"/>
      <c r="W34" s="93" t="n"/>
      <c r="X34" s="93" t="n"/>
      <c r="Y34" s="93" t="n"/>
      <c r="Z34" s="93" t="n"/>
      <c r="AA34" s="94" t="n"/>
    </row>
    <row r="35" ht="15" customHeight="1">
      <c r="B35" s="18" t="inlineStr">
        <is>
          <t>K ↓ vs Ldaily →</t>
        </is>
      </c>
      <c r="C35" s="117">
        <f>$C$18</f>
        <v/>
      </c>
      <c r="D35" s="118">
        <f>$D$18</f>
        <v/>
      </c>
      <c r="E35" s="118">
        <f>$E$18</f>
        <v/>
      </c>
      <c r="F35" s="118">
        <f>$F$18</f>
        <v/>
      </c>
      <c r="G35" s="118">
        <f>$G$18</f>
        <v/>
      </c>
      <c r="H35" s="118">
        <f>$H$18</f>
        <v/>
      </c>
      <c r="I35" s="119">
        <f>$I$18</f>
        <v/>
      </c>
      <c r="K35" s="18" t="inlineStr">
        <is>
          <t>K ↓ vs Ldaily →</t>
        </is>
      </c>
      <c r="L35" s="117">
        <f>$C$18</f>
        <v/>
      </c>
      <c r="M35" s="118">
        <f>$D$18</f>
        <v/>
      </c>
      <c r="N35" s="118">
        <f>$E$18</f>
        <v/>
      </c>
      <c r="O35" s="118">
        <f>$F$18</f>
        <v/>
      </c>
      <c r="P35" s="118">
        <f>$G$18</f>
        <v/>
      </c>
      <c r="Q35" s="118">
        <f>$H$18</f>
        <v/>
      </c>
      <c r="R35" s="119">
        <f>$I$18</f>
        <v/>
      </c>
      <c r="T35" s="18" t="inlineStr">
        <is>
          <t>K ↓ vs Ldaily →</t>
        </is>
      </c>
      <c r="U35" s="117">
        <f>$C$18</f>
        <v/>
      </c>
      <c r="V35" s="118">
        <f>$D$18</f>
        <v/>
      </c>
      <c r="W35" s="118">
        <f>$E$18</f>
        <v/>
      </c>
      <c r="X35" s="118">
        <f>$F$18</f>
        <v/>
      </c>
      <c r="Y35" s="118">
        <f>$G$18</f>
        <v/>
      </c>
      <c r="Z35" s="118">
        <f>$H$18</f>
        <v/>
      </c>
      <c r="AA35" s="119">
        <f>$I$18</f>
        <v/>
      </c>
    </row>
    <row r="36">
      <c r="B36" s="124">
        <f>$B$19</f>
        <v/>
      </c>
      <c r="C36" s="141">
        <f>(C$35 + $B36 / $M$7 / $M$10) / C19</f>
        <v/>
      </c>
      <c r="D36" s="142">
        <f>(D$35 + $B36 / $M$7 / $M$10) / D19</f>
        <v/>
      </c>
      <c r="E36" s="142">
        <f>(E$35 + $B36 / $M$7 / $M$10) / E19</f>
        <v/>
      </c>
      <c r="F36" s="142">
        <f>(F$35 + $B36 / $M$7 / $M$10) / F19</f>
        <v/>
      </c>
      <c r="G36" s="142">
        <f>(G$35 + $B36 / $M$7 / $M$10) / G19</f>
        <v/>
      </c>
      <c r="H36" s="142">
        <f>(H$35 + $B36 / $M$7 / $M$10) / H19</f>
        <v/>
      </c>
      <c r="I36" s="143">
        <f>(I$35 + $B36 / $M$7 / $M$10) / I19</f>
        <v/>
      </c>
      <c r="K36" s="124">
        <f>$B$19</f>
        <v/>
      </c>
      <c r="L36" s="144" t="inlineStr">
        <is>
          <t>N/A</t>
        </is>
      </c>
      <c r="M36" s="145" t="inlineStr">
        <is>
          <t>N/A</t>
        </is>
      </c>
      <c r="N36" s="145" t="inlineStr">
        <is>
          <t>N/A</t>
        </is>
      </c>
      <c r="O36" s="145" t="inlineStr">
        <is>
          <t>N/A</t>
        </is>
      </c>
      <c r="P36" s="145" t="inlineStr">
        <is>
          <t>N/A</t>
        </is>
      </c>
      <c r="Q36" s="145" t="inlineStr">
        <is>
          <t>N/A</t>
        </is>
      </c>
      <c r="R36" s="146" t="inlineStr">
        <is>
          <t>N/A</t>
        </is>
      </c>
      <c r="T36" s="124">
        <f>$B$19</f>
        <v/>
      </c>
      <c r="U36" s="144" t="inlineStr">
        <is>
          <t>N/A</t>
        </is>
      </c>
      <c r="V36" s="145" t="inlineStr">
        <is>
          <t>N/A</t>
        </is>
      </c>
      <c r="W36" s="145" t="inlineStr">
        <is>
          <t>N/A</t>
        </is>
      </c>
      <c r="X36" s="145" t="inlineStr">
        <is>
          <t>N/A</t>
        </is>
      </c>
      <c r="Y36" s="145" t="inlineStr">
        <is>
          <t>N/A</t>
        </is>
      </c>
      <c r="Z36" s="145" t="inlineStr">
        <is>
          <t>N/A</t>
        </is>
      </c>
      <c r="AA36" s="146" t="inlineStr">
        <is>
          <t>N/A</t>
        </is>
      </c>
    </row>
    <row r="37">
      <c r="B37" s="132">
        <f>$B$20</f>
        <v/>
      </c>
      <c r="C37" s="147">
        <f>(C$35 + $B37 / $M$7 / $M$10) / C20</f>
        <v/>
      </c>
      <c r="D37" s="148">
        <f>(D$35 + $B37 / $M$7 / $M$10) / D20</f>
        <v/>
      </c>
      <c r="E37" s="148">
        <f>(E$35 + $B37 / $M$7 / $M$10) / E20</f>
        <v/>
      </c>
      <c r="F37" s="148">
        <f>(F$35 + $B37 / $M$7 / $M$10) / F20</f>
        <v/>
      </c>
      <c r="G37" s="148">
        <f>(G$35 + $B37 / $M$7 / $M$10) / G20</f>
        <v/>
      </c>
      <c r="H37" s="148">
        <f>(H$35 + $B37 / $M$7 / $M$10) / H20</f>
        <v/>
      </c>
      <c r="I37" s="149">
        <f>(I$35 + $B37 / $M$7 / $M$10) / I20</f>
        <v/>
      </c>
      <c r="K37" s="132">
        <f>$B$20</f>
        <v/>
      </c>
      <c r="L37" s="150" t="inlineStr">
        <is>
          <t>N/A</t>
        </is>
      </c>
      <c r="M37" s="151" t="inlineStr">
        <is>
          <t>N/A</t>
        </is>
      </c>
      <c r="N37" s="151" t="inlineStr">
        <is>
          <t>N/A</t>
        </is>
      </c>
      <c r="O37" s="151" t="inlineStr">
        <is>
          <t>N/A</t>
        </is>
      </c>
      <c r="P37" s="151" t="inlineStr">
        <is>
          <t>N/A</t>
        </is>
      </c>
      <c r="Q37" s="151" t="inlineStr">
        <is>
          <t>N/A</t>
        </is>
      </c>
      <c r="R37" s="152" t="inlineStr">
        <is>
          <t>N/A</t>
        </is>
      </c>
      <c r="T37" s="132">
        <f>$B$20</f>
        <v/>
      </c>
      <c r="U37" s="150" t="inlineStr">
        <is>
          <t>N/A</t>
        </is>
      </c>
      <c r="V37" s="151" t="inlineStr">
        <is>
          <t>N/A</t>
        </is>
      </c>
      <c r="W37" s="151" t="inlineStr">
        <is>
          <t>N/A</t>
        </is>
      </c>
      <c r="X37" s="151" t="inlineStr">
        <is>
          <t>N/A</t>
        </is>
      </c>
      <c r="Y37" s="151" t="inlineStr">
        <is>
          <t>N/A</t>
        </is>
      </c>
      <c r="Z37" s="151" t="inlineStr">
        <is>
          <t>N/A</t>
        </is>
      </c>
      <c r="AA37" s="152" t="inlineStr">
        <is>
          <t>N/A</t>
        </is>
      </c>
    </row>
    <row r="38">
      <c r="B38" s="132">
        <f>$B$21</f>
        <v/>
      </c>
      <c r="C38" s="147">
        <f>(C$35 + $B38 / $M$7 / $M$10) / C21</f>
        <v/>
      </c>
      <c r="D38" s="148">
        <f>(D$35 + $B38 / $M$7 / $M$10) / D21</f>
        <v/>
      </c>
      <c r="E38" s="148">
        <f>(E$35 + $B38 / $M$7 / $M$10) / E21</f>
        <v/>
      </c>
      <c r="F38" s="148">
        <f>(F$35 + $B38 / $M$7 / $M$10) / F21</f>
        <v/>
      </c>
      <c r="G38" s="148">
        <f>(G$35 + $B38 / $M$7 / $M$10) / G21</f>
        <v/>
      </c>
      <c r="H38" s="148">
        <f>(H$35 + $B38 / $M$7 / $M$10) / H21</f>
        <v/>
      </c>
      <c r="I38" s="149">
        <f>(I$35 + $B38 / $M$7 / $M$10) / I21</f>
        <v/>
      </c>
      <c r="K38" s="132">
        <f>$B$21</f>
        <v/>
      </c>
      <c r="L38" s="150" t="inlineStr">
        <is>
          <t>N/A</t>
        </is>
      </c>
      <c r="M38" s="151" t="inlineStr">
        <is>
          <t>N/A</t>
        </is>
      </c>
      <c r="N38" s="151" t="inlineStr">
        <is>
          <t>N/A</t>
        </is>
      </c>
      <c r="O38" s="151" t="inlineStr">
        <is>
          <t>N/A</t>
        </is>
      </c>
      <c r="P38" s="151" t="inlineStr">
        <is>
          <t>N/A</t>
        </is>
      </c>
      <c r="Q38" s="151" t="inlineStr">
        <is>
          <t>N/A</t>
        </is>
      </c>
      <c r="R38" s="152" t="inlineStr">
        <is>
          <t>N/A</t>
        </is>
      </c>
      <c r="T38" s="132">
        <f>$B$21</f>
        <v/>
      </c>
      <c r="U38" s="150" t="inlineStr">
        <is>
          <t>N/A</t>
        </is>
      </c>
      <c r="V38" s="151" t="inlineStr">
        <is>
          <t>N/A</t>
        </is>
      </c>
      <c r="W38" s="151" t="inlineStr">
        <is>
          <t>N/A</t>
        </is>
      </c>
      <c r="X38" s="151" t="inlineStr">
        <is>
          <t>N/A</t>
        </is>
      </c>
      <c r="Y38" s="151" t="inlineStr">
        <is>
          <t>N/A</t>
        </is>
      </c>
      <c r="Z38" s="151" t="inlineStr">
        <is>
          <t>N/A</t>
        </is>
      </c>
      <c r="AA38" s="152" t="inlineStr">
        <is>
          <t>N/A</t>
        </is>
      </c>
    </row>
    <row r="39">
      <c r="B39" s="132">
        <f>$B$22</f>
        <v/>
      </c>
      <c r="C39" s="147">
        <f>(C$35 + $B39 / $M$7 / $M$10) / C22</f>
        <v/>
      </c>
      <c r="D39" s="148">
        <f>(D$35 + $B39 / $M$7 / $M$10) / D22</f>
        <v/>
      </c>
      <c r="E39" s="148">
        <f>(E$35 + $B39 / $M$7 / $M$10) / E22</f>
        <v/>
      </c>
      <c r="F39" s="148">
        <f>(F$35 + $B39 / $M$7 / $M$10) / F22</f>
        <v/>
      </c>
      <c r="G39" s="148">
        <f>(G$35 + $B39 / $M$7 / $M$10) / G22</f>
        <v/>
      </c>
      <c r="H39" s="148">
        <f>(H$35 + $B39 / $M$7 / $M$10) / H22</f>
        <v/>
      </c>
      <c r="I39" s="149">
        <f>(I$35 + $B39 / $M$7 / $M$10) / I22</f>
        <v/>
      </c>
      <c r="K39" s="132">
        <f>$B$22</f>
        <v/>
      </c>
      <c r="L39" s="150" t="inlineStr">
        <is>
          <t>N/A</t>
        </is>
      </c>
      <c r="M39" s="151" t="inlineStr">
        <is>
          <t>N/A</t>
        </is>
      </c>
      <c r="N39" s="151" t="inlineStr">
        <is>
          <t>N/A</t>
        </is>
      </c>
      <c r="O39" s="151" t="inlineStr">
        <is>
          <t>N/A</t>
        </is>
      </c>
      <c r="P39" s="151" t="inlineStr">
        <is>
          <t>N/A</t>
        </is>
      </c>
      <c r="Q39" s="151" t="inlineStr">
        <is>
          <t>N/A</t>
        </is>
      </c>
      <c r="R39" s="152" t="inlineStr">
        <is>
          <t>N/A</t>
        </is>
      </c>
      <c r="T39" s="132">
        <f>$B$22</f>
        <v/>
      </c>
      <c r="U39" s="150" t="inlineStr">
        <is>
          <t>N/A</t>
        </is>
      </c>
      <c r="V39" s="151" t="inlineStr">
        <is>
          <t>N/A</t>
        </is>
      </c>
      <c r="W39" s="151" t="inlineStr">
        <is>
          <t>N/A</t>
        </is>
      </c>
      <c r="X39" s="151" t="inlineStr">
        <is>
          <t>N/A</t>
        </is>
      </c>
      <c r="Y39" s="151" t="inlineStr">
        <is>
          <t>N/A</t>
        </is>
      </c>
      <c r="Z39" s="151" t="inlineStr">
        <is>
          <t>N/A</t>
        </is>
      </c>
      <c r="AA39" s="152" t="inlineStr">
        <is>
          <t>N/A</t>
        </is>
      </c>
    </row>
    <row r="40">
      <c r="B40" s="132">
        <f>$B$23</f>
        <v/>
      </c>
      <c r="C40" s="147">
        <f>(C$35 + $B40 / $M$7 / $M$10) / C23</f>
        <v/>
      </c>
      <c r="D40" s="148">
        <f>(D$35 + $B40 / $M$7 / $M$10) / D23</f>
        <v/>
      </c>
      <c r="E40" s="148">
        <f>(E$35 + $B40 / $M$7 / $M$10) / E23</f>
        <v/>
      </c>
      <c r="F40" s="148">
        <f>(F$35 + $B40 / $M$7 / $M$10) / F23</f>
        <v/>
      </c>
      <c r="G40" s="148">
        <f>(G$35 + $B40 / $M$7 / $M$10) / G23</f>
        <v/>
      </c>
      <c r="H40" s="148">
        <f>(H$35 + $B40 / $M$7 / $M$10) / H23</f>
        <v/>
      </c>
      <c r="I40" s="149">
        <f>(I$35 + $B40 / $M$7 / $M$10) / I23</f>
        <v/>
      </c>
      <c r="K40" s="132">
        <f>$B$23</f>
        <v/>
      </c>
      <c r="L40" s="147">
        <f>(L$35 + $K40 / $M$7 / $M$10) / L23</f>
        <v/>
      </c>
      <c r="M40" s="148">
        <f>(M$35 + $K40 / $M$7 / $M$10) / M23</f>
        <v/>
      </c>
      <c r="N40" s="148">
        <f>(N$35 + $K40 / $M$7 / $M$10) / N23</f>
        <v/>
      </c>
      <c r="O40" s="148">
        <f>(O$35 + $K40 / $M$7 / $M$10) / O23</f>
        <v/>
      </c>
      <c r="P40" s="148">
        <f>(P$35 + $K40 / $M$7 / $M$10) / P23</f>
        <v/>
      </c>
      <c r="Q40" s="148">
        <f>(Q$35 + $K40 / $M$7 / $M$10) / Q23</f>
        <v/>
      </c>
      <c r="R40" s="149">
        <f>(R$35 + $K40 / $M$7 / $M$10) / R23</f>
        <v/>
      </c>
      <c r="T40" s="132">
        <f>$B$23</f>
        <v/>
      </c>
      <c r="U40" s="150" t="inlineStr">
        <is>
          <t>N/A</t>
        </is>
      </c>
      <c r="V40" s="151" t="inlineStr">
        <is>
          <t>N/A</t>
        </is>
      </c>
      <c r="W40" s="151" t="inlineStr">
        <is>
          <t>N/A</t>
        </is>
      </c>
      <c r="X40" s="151" t="inlineStr">
        <is>
          <t>N/A</t>
        </is>
      </c>
      <c r="Y40" s="151" t="inlineStr">
        <is>
          <t>N/A</t>
        </is>
      </c>
      <c r="Z40" s="151" t="inlineStr">
        <is>
          <t>N/A</t>
        </is>
      </c>
      <c r="AA40" s="152" t="inlineStr">
        <is>
          <t>N/A</t>
        </is>
      </c>
    </row>
    <row r="41">
      <c r="B41" s="132">
        <f>$B$24</f>
        <v/>
      </c>
      <c r="C41" s="147">
        <f>(C$35 + $B41 / $M$7 / $M$10) / C24</f>
        <v/>
      </c>
      <c r="D41" s="148">
        <f>(D$35 + $B41 / $M$7 / $M$10) / D24</f>
        <v/>
      </c>
      <c r="E41" s="148">
        <f>(E$35 + $B41 / $M$7 / $M$10) / E24</f>
        <v/>
      </c>
      <c r="F41" s="148">
        <f>(F$35 + $B41 / $M$7 / $M$10) / F24</f>
        <v/>
      </c>
      <c r="G41" s="148">
        <f>(G$35 + $B41 / $M$7 / $M$10) / G24</f>
        <v/>
      </c>
      <c r="H41" s="148">
        <f>(H$35 + $B41 / $M$7 / $M$10) / H24</f>
        <v/>
      </c>
      <c r="I41" s="149">
        <f>(I$35 + $B41 / $M$7 / $M$10) / I24</f>
        <v/>
      </c>
      <c r="K41" s="132">
        <f>$B$24</f>
        <v/>
      </c>
      <c r="L41" s="147">
        <f>(L$35 + $K41 / $M$7 / $M$10) / L24</f>
        <v/>
      </c>
      <c r="M41" s="148">
        <f>(M$35 + $K41 / $M$7 / $M$10) / M24</f>
        <v/>
      </c>
      <c r="N41" s="148">
        <f>(N$35 + $K41 / $M$7 / $M$10) / N24</f>
        <v/>
      </c>
      <c r="O41" s="148">
        <f>(O$35 + $K41 / $M$7 / $M$10) / O24</f>
        <v/>
      </c>
      <c r="P41" s="148">
        <f>(P$35 + $K41 / $M$7 / $M$10) / P24</f>
        <v/>
      </c>
      <c r="Q41" s="148">
        <f>(Q$35 + $K41 / $M$7 / $M$10) / Q24</f>
        <v/>
      </c>
      <c r="R41" s="149">
        <f>(R$35 + $K41 / $M$7 / $M$10) / R24</f>
        <v/>
      </c>
      <c r="T41" s="132">
        <f>$B$24</f>
        <v/>
      </c>
      <c r="U41" s="150" t="inlineStr">
        <is>
          <t>N/A</t>
        </is>
      </c>
      <c r="V41" s="151" t="inlineStr">
        <is>
          <t>N/A</t>
        </is>
      </c>
      <c r="W41" s="151" t="inlineStr">
        <is>
          <t>N/A</t>
        </is>
      </c>
      <c r="X41" s="151" t="inlineStr">
        <is>
          <t>N/A</t>
        </is>
      </c>
      <c r="Y41" s="151" t="inlineStr">
        <is>
          <t>N/A</t>
        </is>
      </c>
      <c r="Z41" s="151" t="inlineStr">
        <is>
          <t>N/A</t>
        </is>
      </c>
      <c r="AA41" s="152" t="inlineStr">
        <is>
          <t>N/A</t>
        </is>
      </c>
    </row>
    <row r="42">
      <c r="B42" s="132">
        <f>$B$25</f>
        <v/>
      </c>
      <c r="C42" s="147">
        <f>(C$35 + $B42 / $M$7 / $M$10) / C25</f>
        <v/>
      </c>
      <c r="D42" s="148">
        <f>(D$35 + $B42 / $M$7 / $M$10) / D25</f>
        <v/>
      </c>
      <c r="E42" s="148">
        <f>(E$35 + $B42 / $M$7 / $M$10) / E25</f>
        <v/>
      </c>
      <c r="F42" s="148">
        <f>(F$35 + $B42 / $M$7 / $M$10) / F25</f>
        <v/>
      </c>
      <c r="G42" s="148">
        <f>(G$35 + $B42 / $M$7 / $M$10) / G25</f>
        <v/>
      </c>
      <c r="H42" s="148">
        <f>(H$35 + $B42 / $M$7 / $M$10) / H25</f>
        <v/>
      </c>
      <c r="I42" s="149">
        <f>(I$35 + $B42 / $M$7 / $M$10) / I25</f>
        <v/>
      </c>
      <c r="K42" s="132">
        <f>$B$25</f>
        <v/>
      </c>
      <c r="L42" s="147">
        <f>(L$35 + $K42 / $M$7 / $M$10) / L25</f>
        <v/>
      </c>
      <c r="M42" s="148">
        <f>(M$35 + $K42 / $M$7 / $M$10) / M25</f>
        <v/>
      </c>
      <c r="N42" s="148">
        <f>(N$35 + $K42 / $M$7 / $M$10) / N25</f>
        <v/>
      </c>
      <c r="O42" s="148">
        <f>(O$35 + $K42 / $M$7 / $M$10) / O25</f>
        <v/>
      </c>
      <c r="P42" s="148">
        <f>(P$35 + $K42 / $M$7 / $M$10) / P25</f>
        <v/>
      </c>
      <c r="Q42" s="148">
        <f>(Q$35 + $K42 / $M$7 / $M$10) / Q25</f>
        <v/>
      </c>
      <c r="R42" s="149">
        <f>(R$35 + $K42 / $M$7 / $M$10) / R25</f>
        <v/>
      </c>
      <c r="T42" s="132">
        <f>$B$25</f>
        <v/>
      </c>
      <c r="U42" s="150" t="inlineStr">
        <is>
          <t>N/A</t>
        </is>
      </c>
      <c r="V42" s="151" t="inlineStr">
        <is>
          <t>N/A</t>
        </is>
      </c>
      <c r="W42" s="151" t="inlineStr">
        <is>
          <t>N/A</t>
        </is>
      </c>
      <c r="X42" s="151" t="inlineStr">
        <is>
          <t>N/A</t>
        </is>
      </c>
      <c r="Y42" s="151" t="inlineStr">
        <is>
          <t>N/A</t>
        </is>
      </c>
      <c r="Z42" s="151" t="inlineStr">
        <is>
          <t>N/A</t>
        </is>
      </c>
      <c r="AA42" s="152" t="inlineStr">
        <is>
          <t>N/A</t>
        </is>
      </c>
    </row>
    <row r="43">
      <c r="B43" s="132">
        <f>$B$26</f>
        <v/>
      </c>
      <c r="C43" s="147">
        <f>(C$35 + $B43 / $M$7 / $M$10) / C26</f>
        <v/>
      </c>
      <c r="D43" s="148">
        <f>(D$35 + $B43 / $M$7 / $M$10) / D26</f>
        <v/>
      </c>
      <c r="E43" s="148">
        <f>(E$35 + $B43 / $M$7 / $M$10) / E26</f>
        <v/>
      </c>
      <c r="F43" s="148">
        <f>(F$35 + $B43 / $M$7 / $M$10) / F26</f>
        <v/>
      </c>
      <c r="G43" s="148">
        <f>(G$35 + $B43 / $M$7 / $M$10) / G26</f>
        <v/>
      </c>
      <c r="H43" s="148">
        <f>(H$35 + $B43 / $M$7 / $M$10) / H26</f>
        <v/>
      </c>
      <c r="I43" s="149">
        <f>(I$35 + $B43 / $M$7 / $M$10) / I26</f>
        <v/>
      </c>
      <c r="K43" s="132">
        <f>$B$26</f>
        <v/>
      </c>
      <c r="L43" s="147">
        <f>(L$35 + $K43 / $M$7 / $M$10) / L26</f>
        <v/>
      </c>
      <c r="M43" s="148">
        <f>(M$35 + $K43 / $M$7 / $M$10) / M26</f>
        <v/>
      </c>
      <c r="N43" s="148">
        <f>(N$35 + $K43 / $M$7 / $M$10) / N26</f>
        <v/>
      </c>
      <c r="O43" s="148">
        <f>(O$35 + $K43 / $M$7 / $M$10) / O26</f>
        <v/>
      </c>
      <c r="P43" s="148">
        <f>(P$35 + $K43 / $M$7 / $M$10) / P26</f>
        <v/>
      </c>
      <c r="Q43" s="148">
        <f>(Q$35 + $K43 / $M$7 / $M$10) / Q26</f>
        <v/>
      </c>
      <c r="R43" s="149">
        <f>(R$35 + $K43 / $M$7 / $M$10) / R26</f>
        <v/>
      </c>
      <c r="T43" s="132">
        <f>$B$26</f>
        <v/>
      </c>
      <c r="U43" s="150" t="inlineStr">
        <is>
          <t>N/A</t>
        </is>
      </c>
      <c r="V43" s="151" t="inlineStr">
        <is>
          <t>N/A</t>
        </is>
      </c>
      <c r="W43" s="151" t="inlineStr">
        <is>
          <t>N/A</t>
        </is>
      </c>
      <c r="X43" s="151" t="inlineStr">
        <is>
          <t>N/A</t>
        </is>
      </c>
      <c r="Y43" s="151" t="inlineStr">
        <is>
          <t>N/A</t>
        </is>
      </c>
      <c r="Z43" s="151" t="inlineStr">
        <is>
          <t>N/A</t>
        </is>
      </c>
      <c r="AA43" s="152" t="inlineStr">
        <is>
          <t>N/A</t>
        </is>
      </c>
    </row>
    <row r="44">
      <c r="B44" s="132">
        <f>$B$27</f>
        <v/>
      </c>
      <c r="C44" s="147">
        <f>(C$35 + $B44 / $M$7 / $M$10) / C27</f>
        <v/>
      </c>
      <c r="D44" s="148">
        <f>(D$35 + $B44 / $M$7 / $M$10) / D27</f>
        <v/>
      </c>
      <c r="E44" s="148">
        <f>(E$35 + $B44 / $M$7 / $M$10) / E27</f>
        <v/>
      </c>
      <c r="F44" s="148">
        <f>(F$35 + $B44 / $M$7 / $M$10) / F27</f>
        <v/>
      </c>
      <c r="G44" s="148">
        <f>(G$35 + $B44 / $M$7 / $M$10) / G27</f>
        <v/>
      </c>
      <c r="H44" s="148">
        <f>(H$35 + $B44 / $M$7 / $M$10) / H27</f>
        <v/>
      </c>
      <c r="I44" s="149">
        <f>(I$35 + $B44 / $M$7 / $M$10) / I27</f>
        <v/>
      </c>
      <c r="K44" s="132">
        <f>$B$27</f>
        <v/>
      </c>
      <c r="L44" s="147">
        <f>(L$35 + $K44 / $M$7 / $M$10) / L27</f>
        <v/>
      </c>
      <c r="M44" s="148">
        <f>(M$35 + $K44 / $M$7 / $M$10) / M27</f>
        <v/>
      </c>
      <c r="N44" s="148">
        <f>(N$35 + $K44 / $M$7 / $M$10) / N27</f>
        <v/>
      </c>
      <c r="O44" s="148">
        <f>(O$35 + $K44 / $M$7 / $M$10) / O27</f>
        <v/>
      </c>
      <c r="P44" s="148">
        <f>(P$35 + $K44 / $M$7 / $M$10) / P27</f>
        <v/>
      </c>
      <c r="Q44" s="148">
        <f>(Q$35 + $K44 / $M$7 / $M$10) / Q27</f>
        <v/>
      </c>
      <c r="R44" s="149">
        <f>(R$35 + $K44 / $M$7 / $M$10) / R27</f>
        <v/>
      </c>
      <c r="T44" s="132">
        <f>$B$27</f>
        <v/>
      </c>
      <c r="U44" s="150" t="inlineStr">
        <is>
          <t>N/A</t>
        </is>
      </c>
      <c r="V44" s="151" t="inlineStr">
        <is>
          <t>N/A</t>
        </is>
      </c>
      <c r="W44" s="151" t="inlineStr">
        <is>
          <t>N/A</t>
        </is>
      </c>
      <c r="X44" s="151" t="inlineStr">
        <is>
          <t>N/A</t>
        </is>
      </c>
      <c r="Y44" s="151" t="inlineStr">
        <is>
          <t>N/A</t>
        </is>
      </c>
      <c r="Z44" s="151" t="inlineStr">
        <is>
          <t>N/A</t>
        </is>
      </c>
      <c r="AA44" s="152" t="inlineStr">
        <is>
          <t>N/A</t>
        </is>
      </c>
    </row>
    <row r="45">
      <c r="B45" s="132">
        <f>$B$28</f>
        <v/>
      </c>
      <c r="C45" s="147">
        <f>(C$35 + $B45 / $M$7 / $M$10) / C28</f>
        <v/>
      </c>
      <c r="D45" s="148">
        <f>(D$35 + $B45 / $M$7 / $M$10) / D28</f>
        <v/>
      </c>
      <c r="E45" s="148">
        <f>(E$35 + $B45 / $M$7 / $M$10) / E28</f>
        <v/>
      </c>
      <c r="F45" s="148">
        <f>(F$35 + $B45 / $M$7 / $M$10) / F28</f>
        <v/>
      </c>
      <c r="G45" s="148">
        <f>(G$35 + $B45 / $M$7 / $M$10) / G28</f>
        <v/>
      </c>
      <c r="H45" s="148">
        <f>(H$35 + $B45 / $M$7 / $M$10) / H28</f>
        <v/>
      </c>
      <c r="I45" s="149">
        <f>(I$35 + $B45 / $M$7 / $M$10) / I28</f>
        <v/>
      </c>
      <c r="K45" s="132">
        <f>$B$28</f>
        <v/>
      </c>
      <c r="L45" s="147">
        <f>(L$35 + $K45 / $M$7 / $M$10) / L28</f>
        <v/>
      </c>
      <c r="M45" s="148">
        <f>(M$35 + $K45 / $M$7 / $M$10) / M28</f>
        <v/>
      </c>
      <c r="N45" s="148">
        <f>(N$35 + $K45 / $M$7 / $M$10) / N28</f>
        <v/>
      </c>
      <c r="O45" s="148">
        <f>(O$35 + $K45 / $M$7 / $M$10) / O28</f>
        <v/>
      </c>
      <c r="P45" s="148">
        <f>(P$35 + $K45 / $M$7 / $M$10) / P28</f>
        <v/>
      </c>
      <c r="Q45" s="148">
        <f>(Q$35 + $K45 / $M$7 / $M$10) / Q28</f>
        <v/>
      </c>
      <c r="R45" s="149">
        <f>(R$35 + $K45 / $M$7 / $M$10) / R28</f>
        <v/>
      </c>
      <c r="T45" s="132">
        <f>$B$28</f>
        <v/>
      </c>
      <c r="U45" s="150" t="inlineStr">
        <is>
          <t>N/A</t>
        </is>
      </c>
      <c r="V45" s="151" t="inlineStr">
        <is>
          <t>N/A</t>
        </is>
      </c>
      <c r="W45" s="151" t="inlineStr">
        <is>
          <t>N/A</t>
        </is>
      </c>
      <c r="X45" s="151" t="inlineStr">
        <is>
          <t>N/A</t>
        </is>
      </c>
      <c r="Y45" s="151" t="inlineStr">
        <is>
          <t>N/A</t>
        </is>
      </c>
      <c r="Z45" s="151" t="inlineStr">
        <is>
          <t>N/A</t>
        </is>
      </c>
      <c r="AA45" s="152" t="inlineStr">
        <is>
          <t>N/A</t>
        </is>
      </c>
    </row>
    <row r="46">
      <c r="B46" s="132">
        <f>$B$29</f>
        <v/>
      </c>
      <c r="C46" s="147">
        <f>(C$35 + $B46 / $M$7 / $M$10) / C29</f>
        <v/>
      </c>
      <c r="D46" s="148">
        <f>(D$35 + $B46 / $M$7 / $M$10) / D29</f>
        <v/>
      </c>
      <c r="E46" s="148">
        <f>(E$35 + $B46 / $M$7 / $M$10) / E29</f>
        <v/>
      </c>
      <c r="F46" s="148">
        <f>(F$35 + $B46 / $M$7 / $M$10) / F29</f>
        <v/>
      </c>
      <c r="G46" s="148">
        <f>(G$35 + $B46 / $M$7 / $M$10) / G29</f>
        <v/>
      </c>
      <c r="H46" s="148">
        <f>(H$35 + $B46 / $M$7 / $M$10) / H29</f>
        <v/>
      </c>
      <c r="I46" s="149">
        <f>(I$35 + $B46 / $M$7 / $M$10) / I29</f>
        <v/>
      </c>
      <c r="K46" s="132">
        <f>$B$29</f>
        <v/>
      </c>
      <c r="L46" s="147">
        <f>(L$35 + $K46 / $M$7 / $M$10) / L29</f>
        <v/>
      </c>
      <c r="M46" s="148">
        <f>(M$35 + $K46 / $M$7 / $M$10) / M29</f>
        <v/>
      </c>
      <c r="N46" s="148">
        <f>(N$35 + $K46 / $M$7 / $M$10) / N29</f>
        <v/>
      </c>
      <c r="O46" s="148">
        <f>(O$35 + $K46 / $M$7 / $M$10) / O29</f>
        <v/>
      </c>
      <c r="P46" s="148">
        <f>(P$35 + $K46 / $M$7 / $M$10) / P29</f>
        <v/>
      </c>
      <c r="Q46" s="148">
        <f>(Q$35 + $K46 / $M$7 / $M$10) / Q29</f>
        <v/>
      </c>
      <c r="R46" s="149">
        <f>(R$35 + $K46 / $M$7 / $M$10) / R29</f>
        <v/>
      </c>
      <c r="T46" s="132">
        <f>$B$29</f>
        <v/>
      </c>
      <c r="U46" s="150" t="inlineStr">
        <is>
          <t>N/A</t>
        </is>
      </c>
      <c r="V46" s="151" t="inlineStr">
        <is>
          <t>N/A</t>
        </is>
      </c>
      <c r="W46" s="151" t="inlineStr">
        <is>
          <t>N/A</t>
        </is>
      </c>
      <c r="X46" s="151" t="inlineStr">
        <is>
          <t>N/A</t>
        </is>
      </c>
      <c r="Y46" s="151" t="inlineStr">
        <is>
          <t>N/A</t>
        </is>
      </c>
      <c r="Z46" s="151" t="inlineStr">
        <is>
          <t>N/A</t>
        </is>
      </c>
      <c r="AA46" s="152" t="inlineStr">
        <is>
          <t>N/A</t>
        </is>
      </c>
    </row>
    <row r="47">
      <c r="B47" s="132">
        <f>$B$30</f>
        <v/>
      </c>
      <c r="C47" s="147">
        <f>(C$35 + $B47 / $M$7 / $M$10) / C30</f>
        <v/>
      </c>
      <c r="D47" s="148">
        <f>(D$35 + $B47 / $M$7 / $M$10) / D30</f>
        <v/>
      </c>
      <c r="E47" s="148">
        <f>(E$35 + $B47 / $M$7 / $M$10) / E30</f>
        <v/>
      </c>
      <c r="F47" s="148">
        <f>(F$35 + $B47 / $M$7 / $M$10) / F30</f>
        <v/>
      </c>
      <c r="G47" s="148">
        <f>(G$35 + $B47 / $M$7 / $M$10) / G30</f>
        <v/>
      </c>
      <c r="H47" s="148">
        <f>(H$35 + $B47 / $M$7 / $M$10) / H30</f>
        <v/>
      </c>
      <c r="I47" s="149">
        <f>(I$35 + $B47 / $M$7 / $M$10) / I30</f>
        <v/>
      </c>
      <c r="K47" s="132">
        <f>$B$30</f>
        <v/>
      </c>
      <c r="L47" s="147">
        <f>(L$35 + $K47 / $M$7 / $M$10) / L30</f>
        <v/>
      </c>
      <c r="M47" s="148">
        <f>(M$35 + $K47 / $M$7 / $M$10) / M30</f>
        <v/>
      </c>
      <c r="N47" s="148">
        <f>(N$35 + $K47 / $M$7 / $M$10) / N30</f>
        <v/>
      </c>
      <c r="O47" s="148">
        <f>(O$35 + $K47 / $M$7 / $M$10) / O30</f>
        <v/>
      </c>
      <c r="P47" s="148">
        <f>(P$35 + $K47 / $M$7 / $M$10) / P30</f>
        <v/>
      </c>
      <c r="Q47" s="148">
        <f>(Q$35 + $K47 / $M$7 / $M$10) / Q30</f>
        <v/>
      </c>
      <c r="R47" s="149">
        <f>(R$35 + $K47 / $M$7 / $M$10) / R30</f>
        <v/>
      </c>
      <c r="T47" s="132">
        <f>$B$30</f>
        <v/>
      </c>
      <c r="U47" s="147">
        <f>(U$35 + $T47 / $M$7 / $M$10) / U30</f>
        <v/>
      </c>
      <c r="V47" s="148">
        <f>(V$35 + $T47 / $M$7 / $M$10) / V30</f>
        <v/>
      </c>
      <c r="W47" s="148">
        <f>(W$35 + $T47 / $M$7 / $M$10) / W30</f>
        <v/>
      </c>
      <c r="X47" s="148">
        <f>(X$35 + $T47 / $M$7 / $M$10) / X30</f>
        <v/>
      </c>
      <c r="Y47" s="148">
        <f>(Y$35 + $T47 / $M$7 / $M$10) / Y30</f>
        <v/>
      </c>
      <c r="Z47" s="148">
        <f>(Z$35 + $T47 / $M$7 / $M$10) / Z30</f>
        <v/>
      </c>
      <c r="AA47" s="149">
        <f>(AA$35 + $T47 / $M$7 / $M$10) / AA30</f>
        <v/>
      </c>
    </row>
    <row r="48">
      <c r="B48" s="132">
        <f>$B$31</f>
        <v/>
      </c>
      <c r="C48" s="147">
        <f>(C$35 + $B48 / $M$7 / $M$10) / C31</f>
        <v/>
      </c>
      <c r="D48" s="148">
        <f>(D$35 + $B48 / $M$7 / $M$10) / D31</f>
        <v/>
      </c>
      <c r="E48" s="148">
        <f>(E$35 + $B48 / $M$7 / $M$10) / E31</f>
        <v/>
      </c>
      <c r="F48" s="148">
        <f>(F$35 + $B48 / $M$7 / $M$10) / F31</f>
        <v/>
      </c>
      <c r="G48" s="148">
        <f>(G$35 + $B48 / $M$7 / $M$10) / G31</f>
        <v/>
      </c>
      <c r="H48" s="148">
        <f>(H$35 + $B48 / $M$7 / $M$10) / H31</f>
        <v/>
      </c>
      <c r="I48" s="149">
        <f>(I$35 + $B48 / $M$7 / $M$10) / I31</f>
        <v/>
      </c>
      <c r="K48" s="132">
        <f>$B$31</f>
        <v/>
      </c>
      <c r="L48" s="147">
        <f>(L$35 + $K48 / $M$7 / $M$10) / L31</f>
        <v/>
      </c>
      <c r="M48" s="148">
        <f>(M$35 + $K48 / $M$7 / $M$10) / M31</f>
        <v/>
      </c>
      <c r="N48" s="148">
        <f>(N$35 + $K48 / $M$7 / $M$10) / N31</f>
        <v/>
      </c>
      <c r="O48" s="148">
        <f>(O$35 + $K48 / $M$7 / $M$10) / O31</f>
        <v/>
      </c>
      <c r="P48" s="148">
        <f>(P$35 + $K48 / $M$7 / $M$10) / P31</f>
        <v/>
      </c>
      <c r="Q48" s="148">
        <f>(Q$35 + $K48 / $M$7 / $M$10) / Q31</f>
        <v/>
      </c>
      <c r="R48" s="149">
        <f>(R$35 + $K48 / $M$7 / $M$10) / R31</f>
        <v/>
      </c>
      <c r="T48" s="132">
        <f>$B$31</f>
        <v/>
      </c>
      <c r="U48" s="147">
        <f>(U$35 + $T48 / $M$7 / $M$10) / U31</f>
        <v/>
      </c>
      <c r="V48" s="148">
        <f>(V$35 + $T48 / $M$7 / $M$10) / V31</f>
        <v/>
      </c>
      <c r="W48" s="148">
        <f>(W$35 + $T48 / $M$7 / $M$10) / W31</f>
        <v/>
      </c>
      <c r="X48" s="148">
        <f>(X$35 + $T48 / $M$7 / $M$10) / X31</f>
        <v/>
      </c>
      <c r="Y48" s="148">
        <f>(Y$35 + $T48 / $M$7 / $M$10) / Y31</f>
        <v/>
      </c>
      <c r="Z48" s="148">
        <f>(Z$35 + $T48 / $M$7 / $M$10) / Z31</f>
        <v/>
      </c>
      <c r="AA48" s="149">
        <f>(AA$35 + $T48 / $M$7 / $M$10) / AA31</f>
        <v/>
      </c>
    </row>
    <row r="49">
      <c r="B49" s="140">
        <f>$B$32</f>
        <v/>
      </c>
      <c r="C49" s="153">
        <f>(C$35 + $B49 / $M$7 / $M$10) / C32</f>
        <v/>
      </c>
      <c r="D49" s="154">
        <f>(D$35 + $B49 / $M$7 / $M$10) / D32</f>
        <v/>
      </c>
      <c r="E49" s="154">
        <f>(E$35 + $B49 / $M$7 / $M$10) / E32</f>
        <v/>
      </c>
      <c r="F49" s="154">
        <f>(F$35 + $B49 / $M$7 / $M$10) / F32</f>
        <v/>
      </c>
      <c r="G49" s="154">
        <f>(G$35 + $B49 / $M$7 / $M$10) / G32</f>
        <v/>
      </c>
      <c r="H49" s="154">
        <f>(H$35 + $B49 / $M$7 / $M$10) / H32</f>
        <v/>
      </c>
      <c r="I49" s="155">
        <f>(I$35 + $B49 / $M$7 / $M$10) / I32</f>
        <v/>
      </c>
      <c r="K49" s="140">
        <f>$B$32</f>
        <v/>
      </c>
      <c r="L49" s="153">
        <f>(L$35 + $K49 / $M$7 / $M$10) / L32</f>
        <v/>
      </c>
      <c r="M49" s="154">
        <f>(M$35 + $K49 / $M$7 / $M$10) / M32</f>
        <v/>
      </c>
      <c r="N49" s="154">
        <f>(N$35 + $K49 / $M$7 / $M$10) / N32</f>
        <v/>
      </c>
      <c r="O49" s="154">
        <f>(O$35 + $K49 / $M$7 / $M$10) / O32</f>
        <v/>
      </c>
      <c r="P49" s="154">
        <f>(P$35 + $K49 / $M$7 / $M$10) / P32</f>
        <v/>
      </c>
      <c r="Q49" s="154">
        <f>(Q$35 + $K49 / $M$7 / $M$10) / Q32</f>
        <v/>
      </c>
      <c r="R49" s="155">
        <f>(R$35 + $K49 / $M$7 / $M$10) / R32</f>
        <v/>
      </c>
      <c r="T49" s="140">
        <f>$B$32</f>
        <v/>
      </c>
      <c r="U49" s="153">
        <f>(U$35 + $T49 / $M$7 / $M$10) / U32</f>
        <v/>
      </c>
      <c r="V49" s="154">
        <f>(V$35 + $T49 / $M$7 / $M$10) / V32</f>
        <v/>
      </c>
      <c r="W49" s="154">
        <f>(W$35 + $T49 / $M$7 / $M$10) / W32</f>
        <v/>
      </c>
      <c r="X49" s="154">
        <f>(X$35 + $T49 / $M$7 / $M$10) / X32</f>
        <v/>
      </c>
      <c r="Y49" s="154">
        <f>(Y$35 + $T49 / $M$7 / $M$10) / Y32</f>
        <v/>
      </c>
      <c r="Z49" s="154">
        <f>(Z$35 + $T49 / $M$7 / $M$10) / Z32</f>
        <v/>
      </c>
      <c r="AA49" s="155">
        <f>(AA$35 + $T49 / $M$7 / $M$10) / AA32</f>
        <v/>
      </c>
    </row>
    <row r="50">
      <c r="B50" s="2" t="n"/>
      <c r="C50" s="2" t="n"/>
      <c r="D50" s="2" t="n"/>
      <c r="E50" s="2" t="n"/>
      <c r="F50" s="2" t="n"/>
      <c r="G50" s="2" t="n"/>
      <c r="H50" s="2" t="n"/>
      <c r="I50" s="2" t="n"/>
      <c r="K50" s="2" t="n"/>
      <c r="L50" s="2" t="n"/>
      <c r="M50" s="2" t="n"/>
      <c r="N50" s="2" t="n"/>
      <c r="O50" s="2" t="n"/>
      <c r="P50" s="2" t="n"/>
      <c r="Q50" s="2" t="n"/>
      <c r="R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B51" s="2" t="n"/>
      <c r="C51" s="113" t="inlineStr">
        <is>
          <t>Manufacturing Overhead plus Materials Cost per unit</t>
        </is>
      </c>
      <c r="D51" s="93" t="n"/>
      <c r="E51" s="93" t="n"/>
      <c r="F51" s="93" t="n"/>
      <c r="G51" s="93" t="n"/>
      <c r="H51" s="93" t="n"/>
      <c r="I51" s="94" t="n"/>
      <c r="K51" s="2" t="n"/>
      <c r="L51" s="113" t="inlineStr">
        <is>
          <t>Manufacturing Overhead plus Materials Cost per unit</t>
        </is>
      </c>
      <c r="M51" s="93" t="n"/>
      <c r="N51" s="93" t="n"/>
      <c r="O51" s="93" t="n"/>
      <c r="P51" s="93" t="n"/>
      <c r="Q51" s="93" t="n"/>
      <c r="R51" s="94" t="n"/>
      <c r="T51" s="2" t="n"/>
      <c r="U51" s="113" t="inlineStr">
        <is>
          <t>Manufacturing Overhead plus Materials Cost per unit</t>
        </is>
      </c>
      <c r="V51" s="93" t="n"/>
      <c r="W51" s="93" t="n"/>
      <c r="X51" s="93" t="n"/>
      <c r="Y51" s="93" t="n"/>
      <c r="Z51" s="93" t="n"/>
      <c r="AA51" s="94" t="n"/>
    </row>
    <row r="52" ht="15" customHeight="1">
      <c r="B52" s="18" t="inlineStr">
        <is>
          <t>K ↓ vs Ldaily →</t>
        </is>
      </c>
      <c r="C52" s="117">
        <f>$C$18</f>
        <v/>
      </c>
      <c r="D52" s="118">
        <f>$D$18</f>
        <v/>
      </c>
      <c r="E52" s="118">
        <f>$E$18</f>
        <v/>
      </c>
      <c r="F52" s="118">
        <f>$F$18</f>
        <v/>
      </c>
      <c r="G52" s="118">
        <f>$G$18</f>
        <v/>
      </c>
      <c r="H52" s="118">
        <f>$H$18</f>
        <v/>
      </c>
      <c r="I52" s="119">
        <f>$I$18</f>
        <v/>
      </c>
      <c r="K52" s="18" t="inlineStr">
        <is>
          <t>K ↓ vs Ldaily →</t>
        </is>
      </c>
      <c r="L52" s="117">
        <f>$C$18</f>
        <v/>
      </c>
      <c r="M52" s="118">
        <f>$D$18</f>
        <v/>
      </c>
      <c r="N52" s="118">
        <f>$E$18</f>
        <v/>
      </c>
      <c r="O52" s="118">
        <f>$F$18</f>
        <v/>
      </c>
      <c r="P52" s="118">
        <f>$G$18</f>
        <v/>
      </c>
      <c r="Q52" s="118">
        <f>$H$18</f>
        <v/>
      </c>
      <c r="R52" s="119">
        <f>$I$18</f>
        <v/>
      </c>
      <c r="T52" s="18" t="inlineStr">
        <is>
          <t>K ↓ vs Ldaily →</t>
        </is>
      </c>
      <c r="U52" s="117">
        <f>$C$18</f>
        <v/>
      </c>
      <c r="V52" s="118">
        <f>$D$18</f>
        <v/>
      </c>
      <c r="W52" s="118">
        <f>$E$18</f>
        <v/>
      </c>
      <c r="X52" s="118">
        <f>$F$18</f>
        <v/>
      </c>
      <c r="Y52" s="118">
        <f>$G$18</f>
        <v/>
      </c>
      <c r="Z52" s="118">
        <f>$H$18</f>
        <v/>
      </c>
      <c r="AA52" s="119">
        <f>$I$18</f>
        <v/>
      </c>
    </row>
    <row r="53">
      <c r="B53" s="124">
        <f>$B$19</f>
        <v/>
      </c>
      <c r="C53" s="141">
        <f>C36 + $M$13</f>
        <v/>
      </c>
      <c r="D53" s="142">
        <f>D36 + $M$13</f>
        <v/>
      </c>
      <c r="E53" s="142">
        <f>E36 + $M$13</f>
        <v/>
      </c>
      <c r="F53" s="142">
        <f>F36 + $M$13</f>
        <v/>
      </c>
      <c r="G53" s="142">
        <f>G36 + $M$13</f>
        <v/>
      </c>
      <c r="H53" s="142">
        <f>H36 + $M$13</f>
        <v/>
      </c>
      <c r="I53" s="143">
        <f>I36 + $M$13</f>
        <v/>
      </c>
      <c r="K53" s="124">
        <f>$B$19</f>
        <v/>
      </c>
      <c r="L53" s="144" t="inlineStr">
        <is>
          <t>N/A</t>
        </is>
      </c>
      <c r="M53" s="145" t="inlineStr">
        <is>
          <t>N/A</t>
        </is>
      </c>
      <c r="N53" s="145" t="inlineStr">
        <is>
          <t>N/A</t>
        </is>
      </c>
      <c r="O53" s="145" t="inlineStr">
        <is>
          <t>N/A</t>
        </is>
      </c>
      <c r="P53" s="145" t="inlineStr">
        <is>
          <t>N/A</t>
        </is>
      </c>
      <c r="Q53" s="145" t="inlineStr">
        <is>
          <t>N/A</t>
        </is>
      </c>
      <c r="R53" s="146" t="inlineStr">
        <is>
          <t>N/A</t>
        </is>
      </c>
      <c r="T53" s="124">
        <f>$B$19</f>
        <v/>
      </c>
      <c r="U53" s="144" t="inlineStr">
        <is>
          <t>N/A</t>
        </is>
      </c>
      <c r="V53" s="145" t="inlineStr">
        <is>
          <t>N/A</t>
        </is>
      </c>
      <c r="W53" s="145" t="inlineStr">
        <is>
          <t>N/A</t>
        </is>
      </c>
      <c r="X53" s="145" t="inlineStr">
        <is>
          <t>N/A</t>
        </is>
      </c>
      <c r="Y53" s="145" t="inlineStr">
        <is>
          <t>N/A</t>
        </is>
      </c>
      <c r="Z53" s="145" t="inlineStr">
        <is>
          <t>N/A</t>
        </is>
      </c>
      <c r="AA53" s="146" t="inlineStr">
        <is>
          <t>N/A</t>
        </is>
      </c>
    </row>
    <row r="54">
      <c r="B54" s="132">
        <f>$B$20</f>
        <v/>
      </c>
      <c r="C54" s="147">
        <f>C37 + $M$13</f>
        <v/>
      </c>
      <c r="D54" s="148">
        <f>D37 + $M$13</f>
        <v/>
      </c>
      <c r="E54" s="148">
        <f>E37 + $M$13</f>
        <v/>
      </c>
      <c r="F54" s="148">
        <f>F37 + $M$13</f>
        <v/>
      </c>
      <c r="G54" s="148">
        <f>G37 + $M$13</f>
        <v/>
      </c>
      <c r="H54" s="148">
        <f>H37 + $M$13</f>
        <v/>
      </c>
      <c r="I54" s="149">
        <f>I37 + $M$13</f>
        <v/>
      </c>
      <c r="K54" s="132">
        <f>$B$20</f>
        <v/>
      </c>
      <c r="L54" s="150" t="inlineStr">
        <is>
          <t>N/A</t>
        </is>
      </c>
      <c r="M54" s="151" t="inlineStr">
        <is>
          <t>N/A</t>
        </is>
      </c>
      <c r="N54" s="151" t="inlineStr">
        <is>
          <t>N/A</t>
        </is>
      </c>
      <c r="O54" s="151" t="inlineStr">
        <is>
          <t>N/A</t>
        </is>
      </c>
      <c r="P54" s="151" t="inlineStr">
        <is>
          <t>N/A</t>
        </is>
      </c>
      <c r="Q54" s="151" t="inlineStr">
        <is>
          <t>N/A</t>
        </is>
      </c>
      <c r="R54" s="152" t="inlineStr">
        <is>
          <t>N/A</t>
        </is>
      </c>
      <c r="T54" s="132">
        <f>$B$20</f>
        <v/>
      </c>
      <c r="U54" s="150" t="inlineStr">
        <is>
          <t>N/A</t>
        </is>
      </c>
      <c r="V54" s="151" t="inlineStr">
        <is>
          <t>N/A</t>
        </is>
      </c>
      <c r="W54" s="151" t="inlineStr">
        <is>
          <t>N/A</t>
        </is>
      </c>
      <c r="X54" s="151" t="inlineStr">
        <is>
          <t>N/A</t>
        </is>
      </c>
      <c r="Y54" s="151" t="inlineStr">
        <is>
          <t>N/A</t>
        </is>
      </c>
      <c r="Z54" s="151" t="inlineStr">
        <is>
          <t>N/A</t>
        </is>
      </c>
      <c r="AA54" s="152" t="inlineStr">
        <is>
          <t>N/A</t>
        </is>
      </c>
    </row>
    <row r="55">
      <c r="B55" s="132">
        <f>$B$21</f>
        <v/>
      </c>
      <c r="C55" s="147">
        <f>C38 + $M$13</f>
        <v/>
      </c>
      <c r="D55" s="148">
        <f>D38 + $M$13</f>
        <v/>
      </c>
      <c r="E55" s="148">
        <f>E38 + $M$13</f>
        <v/>
      </c>
      <c r="F55" s="148">
        <f>F38 + $M$13</f>
        <v/>
      </c>
      <c r="G55" s="148">
        <f>G38 + $M$13</f>
        <v/>
      </c>
      <c r="H55" s="148">
        <f>H38 + $M$13</f>
        <v/>
      </c>
      <c r="I55" s="149">
        <f>I38 + $M$13</f>
        <v/>
      </c>
      <c r="K55" s="132">
        <f>$B$21</f>
        <v/>
      </c>
      <c r="L55" s="150" t="inlineStr">
        <is>
          <t>N/A</t>
        </is>
      </c>
      <c r="M55" s="151" t="inlineStr">
        <is>
          <t>N/A</t>
        </is>
      </c>
      <c r="N55" s="151" t="inlineStr">
        <is>
          <t>N/A</t>
        </is>
      </c>
      <c r="O55" s="151" t="inlineStr">
        <is>
          <t>N/A</t>
        </is>
      </c>
      <c r="P55" s="151" t="inlineStr">
        <is>
          <t>N/A</t>
        </is>
      </c>
      <c r="Q55" s="151" t="inlineStr">
        <is>
          <t>N/A</t>
        </is>
      </c>
      <c r="R55" s="152" t="inlineStr">
        <is>
          <t>N/A</t>
        </is>
      </c>
      <c r="T55" s="132">
        <f>$B$21</f>
        <v/>
      </c>
      <c r="U55" s="150" t="inlineStr">
        <is>
          <t>N/A</t>
        </is>
      </c>
      <c r="V55" s="151" t="inlineStr">
        <is>
          <t>N/A</t>
        </is>
      </c>
      <c r="W55" s="151" t="inlineStr">
        <is>
          <t>N/A</t>
        </is>
      </c>
      <c r="X55" s="151" t="inlineStr">
        <is>
          <t>N/A</t>
        </is>
      </c>
      <c r="Y55" s="151" t="inlineStr">
        <is>
          <t>N/A</t>
        </is>
      </c>
      <c r="Z55" s="151" t="inlineStr">
        <is>
          <t>N/A</t>
        </is>
      </c>
      <c r="AA55" s="152" t="inlineStr">
        <is>
          <t>N/A</t>
        </is>
      </c>
    </row>
    <row r="56">
      <c r="B56" s="132">
        <f>$B$22</f>
        <v/>
      </c>
      <c r="C56" s="147">
        <f>C39 + $M$13</f>
        <v/>
      </c>
      <c r="D56" s="148">
        <f>D39 + $M$13</f>
        <v/>
      </c>
      <c r="E56" s="148">
        <f>E39 + $M$13</f>
        <v/>
      </c>
      <c r="F56" s="148">
        <f>F39 + $M$13</f>
        <v/>
      </c>
      <c r="G56" s="148">
        <f>G39 + $M$13</f>
        <v/>
      </c>
      <c r="H56" s="148">
        <f>H39 + $M$13</f>
        <v/>
      </c>
      <c r="I56" s="149">
        <f>I39 + $M$13</f>
        <v/>
      </c>
      <c r="K56" s="132">
        <f>$B$22</f>
        <v/>
      </c>
      <c r="L56" s="150" t="inlineStr">
        <is>
          <t>N/A</t>
        </is>
      </c>
      <c r="M56" s="151" t="inlineStr">
        <is>
          <t>N/A</t>
        </is>
      </c>
      <c r="N56" s="151" t="inlineStr">
        <is>
          <t>N/A</t>
        </is>
      </c>
      <c r="O56" s="151" t="inlineStr">
        <is>
          <t>N/A</t>
        </is>
      </c>
      <c r="P56" s="151" t="inlineStr">
        <is>
          <t>N/A</t>
        </is>
      </c>
      <c r="Q56" s="151" t="inlineStr">
        <is>
          <t>N/A</t>
        </is>
      </c>
      <c r="R56" s="152" t="inlineStr">
        <is>
          <t>N/A</t>
        </is>
      </c>
      <c r="T56" s="132">
        <f>$B$22</f>
        <v/>
      </c>
      <c r="U56" s="150" t="inlineStr">
        <is>
          <t>N/A</t>
        </is>
      </c>
      <c r="V56" s="151" t="inlineStr">
        <is>
          <t>N/A</t>
        </is>
      </c>
      <c r="W56" s="151" t="inlineStr">
        <is>
          <t>N/A</t>
        </is>
      </c>
      <c r="X56" s="151" t="inlineStr">
        <is>
          <t>N/A</t>
        </is>
      </c>
      <c r="Y56" s="151" t="inlineStr">
        <is>
          <t>N/A</t>
        </is>
      </c>
      <c r="Z56" s="151" t="inlineStr">
        <is>
          <t>N/A</t>
        </is>
      </c>
      <c r="AA56" s="152" t="inlineStr">
        <is>
          <t>N/A</t>
        </is>
      </c>
    </row>
    <row r="57">
      <c r="B57" s="132">
        <f>$B$23</f>
        <v/>
      </c>
      <c r="C57" s="147">
        <f>C40 + $M$13</f>
        <v/>
      </c>
      <c r="D57" s="148">
        <f>D40 + $M$13</f>
        <v/>
      </c>
      <c r="E57" s="148">
        <f>E40 + $M$13</f>
        <v/>
      </c>
      <c r="F57" s="148">
        <f>F40 + $M$13</f>
        <v/>
      </c>
      <c r="G57" s="148">
        <f>G40 + $M$13</f>
        <v/>
      </c>
      <c r="H57" s="148">
        <f>H40 + $M$13</f>
        <v/>
      </c>
      <c r="I57" s="149">
        <f>I40 + $M$13</f>
        <v/>
      </c>
      <c r="K57" s="132">
        <f>$B$23</f>
        <v/>
      </c>
      <c r="L57" s="147">
        <f>L40 + $M$13</f>
        <v/>
      </c>
      <c r="M57" s="148">
        <f>M40 + $M$13</f>
        <v/>
      </c>
      <c r="N57" s="148">
        <f>N40 + $M$13</f>
        <v/>
      </c>
      <c r="O57" s="148">
        <f>O40 + $M$13</f>
        <v/>
      </c>
      <c r="P57" s="148">
        <f>P40 + $M$13</f>
        <v/>
      </c>
      <c r="Q57" s="148">
        <f>Q40 + $M$13</f>
        <v/>
      </c>
      <c r="R57" s="149">
        <f>R40 + $M$13</f>
        <v/>
      </c>
      <c r="T57" s="132">
        <f>$B$23</f>
        <v/>
      </c>
      <c r="U57" s="150" t="inlineStr">
        <is>
          <t>N/A</t>
        </is>
      </c>
      <c r="V57" s="151" t="inlineStr">
        <is>
          <t>N/A</t>
        </is>
      </c>
      <c r="W57" s="151" t="inlineStr">
        <is>
          <t>N/A</t>
        </is>
      </c>
      <c r="X57" s="151" t="inlineStr">
        <is>
          <t>N/A</t>
        </is>
      </c>
      <c r="Y57" s="151" t="inlineStr">
        <is>
          <t>N/A</t>
        </is>
      </c>
      <c r="Z57" s="151" t="inlineStr">
        <is>
          <t>N/A</t>
        </is>
      </c>
      <c r="AA57" s="152" t="inlineStr">
        <is>
          <t>N/A</t>
        </is>
      </c>
    </row>
    <row r="58">
      <c r="B58" s="132">
        <f>$B$24</f>
        <v/>
      </c>
      <c r="C58" s="147">
        <f>C41 + $M$13</f>
        <v/>
      </c>
      <c r="D58" s="148">
        <f>D41 + $M$13</f>
        <v/>
      </c>
      <c r="E58" s="148">
        <f>E41 + $M$13</f>
        <v/>
      </c>
      <c r="F58" s="148">
        <f>F41 + $M$13</f>
        <v/>
      </c>
      <c r="G58" s="148">
        <f>G41 + $M$13</f>
        <v/>
      </c>
      <c r="H58" s="148">
        <f>H41 + $M$13</f>
        <v/>
      </c>
      <c r="I58" s="149">
        <f>I41 + $M$13</f>
        <v/>
      </c>
      <c r="K58" s="132">
        <f>$B$24</f>
        <v/>
      </c>
      <c r="L58" s="147">
        <f>L41 + $M$13</f>
        <v/>
      </c>
      <c r="M58" s="148">
        <f>M41 + $M$13</f>
        <v/>
      </c>
      <c r="N58" s="148">
        <f>N41 + $M$13</f>
        <v/>
      </c>
      <c r="O58" s="148">
        <f>O41 + $M$13</f>
        <v/>
      </c>
      <c r="P58" s="148">
        <f>P41 + $M$13</f>
        <v/>
      </c>
      <c r="Q58" s="148">
        <f>Q41 + $M$13</f>
        <v/>
      </c>
      <c r="R58" s="149">
        <f>R41 + $M$13</f>
        <v/>
      </c>
      <c r="T58" s="132">
        <f>$B$24</f>
        <v/>
      </c>
      <c r="U58" s="150" t="inlineStr">
        <is>
          <t>N/A</t>
        </is>
      </c>
      <c r="V58" s="151" t="inlineStr">
        <is>
          <t>N/A</t>
        </is>
      </c>
      <c r="W58" s="151" t="inlineStr">
        <is>
          <t>N/A</t>
        </is>
      </c>
      <c r="X58" s="151" t="inlineStr">
        <is>
          <t>N/A</t>
        </is>
      </c>
      <c r="Y58" s="151" t="inlineStr">
        <is>
          <t>N/A</t>
        </is>
      </c>
      <c r="Z58" s="151" t="inlineStr">
        <is>
          <t>N/A</t>
        </is>
      </c>
      <c r="AA58" s="152" t="inlineStr">
        <is>
          <t>N/A</t>
        </is>
      </c>
    </row>
    <row r="59">
      <c r="B59" s="132">
        <f>$B$25</f>
        <v/>
      </c>
      <c r="C59" s="147">
        <f>C42 + $M$13</f>
        <v/>
      </c>
      <c r="D59" s="148">
        <f>D42 + $M$13</f>
        <v/>
      </c>
      <c r="E59" s="148">
        <f>E42 + $M$13</f>
        <v/>
      </c>
      <c r="F59" s="148">
        <f>F42 + $M$13</f>
        <v/>
      </c>
      <c r="G59" s="148">
        <f>G42 + $M$13</f>
        <v/>
      </c>
      <c r="H59" s="148">
        <f>H42 + $M$13</f>
        <v/>
      </c>
      <c r="I59" s="149">
        <f>I42 + $M$13</f>
        <v/>
      </c>
      <c r="K59" s="132">
        <f>$B$25</f>
        <v/>
      </c>
      <c r="L59" s="147">
        <f>L42 + $M$13</f>
        <v/>
      </c>
      <c r="M59" s="148">
        <f>M42 + $M$13</f>
        <v/>
      </c>
      <c r="N59" s="148">
        <f>N42 + $M$13</f>
        <v/>
      </c>
      <c r="O59" s="148">
        <f>O42 + $M$13</f>
        <v/>
      </c>
      <c r="P59" s="148">
        <f>P42 + $M$13</f>
        <v/>
      </c>
      <c r="Q59" s="148">
        <f>Q42 + $M$13</f>
        <v/>
      </c>
      <c r="R59" s="149">
        <f>R42 + $M$13</f>
        <v/>
      </c>
      <c r="T59" s="132">
        <f>$B$25</f>
        <v/>
      </c>
      <c r="U59" s="150" t="inlineStr">
        <is>
          <t>N/A</t>
        </is>
      </c>
      <c r="V59" s="151" t="inlineStr">
        <is>
          <t>N/A</t>
        </is>
      </c>
      <c r="W59" s="151" t="inlineStr">
        <is>
          <t>N/A</t>
        </is>
      </c>
      <c r="X59" s="151" t="inlineStr">
        <is>
          <t>N/A</t>
        </is>
      </c>
      <c r="Y59" s="151" t="inlineStr">
        <is>
          <t>N/A</t>
        </is>
      </c>
      <c r="Z59" s="151" t="inlineStr">
        <is>
          <t>N/A</t>
        </is>
      </c>
      <c r="AA59" s="152" t="inlineStr">
        <is>
          <t>N/A</t>
        </is>
      </c>
    </row>
    <row r="60">
      <c r="B60" s="132">
        <f>$B$26</f>
        <v/>
      </c>
      <c r="C60" s="147">
        <f>C43 + $M$13</f>
        <v/>
      </c>
      <c r="D60" s="148">
        <f>D43 + $M$13</f>
        <v/>
      </c>
      <c r="E60" s="148">
        <f>E43 + $M$13</f>
        <v/>
      </c>
      <c r="F60" s="148">
        <f>F43 + $M$13</f>
        <v/>
      </c>
      <c r="G60" s="148">
        <f>G43 + $M$13</f>
        <v/>
      </c>
      <c r="H60" s="148">
        <f>H43 + $M$13</f>
        <v/>
      </c>
      <c r="I60" s="149">
        <f>I43 + $M$13</f>
        <v/>
      </c>
      <c r="K60" s="132">
        <f>$B$26</f>
        <v/>
      </c>
      <c r="L60" s="147">
        <f>L43 + $M$13</f>
        <v/>
      </c>
      <c r="M60" s="148">
        <f>M43 + $M$13</f>
        <v/>
      </c>
      <c r="N60" s="148">
        <f>N43 + $M$13</f>
        <v/>
      </c>
      <c r="O60" s="148">
        <f>O43 + $M$13</f>
        <v/>
      </c>
      <c r="P60" s="148">
        <f>P43 + $M$13</f>
        <v/>
      </c>
      <c r="Q60" s="148">
        <f>Q43 + $M$13</f>
        <v/>
      </c>
      <c r="R60" s="149">
        <f>R43 + $M$13</f>
        <v/>
      </c>
      <c r="T60" s="132">
        <f>$B$26</f>
        <v/>
      </c>
      <c r="U60" s="150" t="inlineStr">
        <is>
          <t>N/A</t>
        </is>
      </c>
      <c r="V60" s="151" t="inlineStr">
        <is>
          <t>N/A</t>
        </is>
      </c>
      <c r="W60" s="151" t="inlineStr">
        <is>
          <t>N/A</t>
        </is>
      </c>
      <c r="X60" s="151" t="inlineStr">
        <is>
          <t>N/A</t>
        </is>
      </c>
      <c r="Y60" s="151" t="inlineStr">
        <is>
          <t>N/A</t>
        </is>
      </c>
      <c r="Z60" s="151" t="inlineStr">
        <is>
          <t>N/A</t>
        </is>
      </c>
      <c r="AA60" s="152" t="inlineStr">
        <is>
          <t>N/A</t>
        </is>
      </c>
    </row>
    <row r="61">
      <c r="B61" s="132">
        <f>$B$27</f>
        <v/>
      </c>
      <c r="C61" s="147">
        <f>C44 + $M$13</f>
        <v/>
      </c>
      <c r="D61" s="148">
        <f>D44 + $M$13</f>
        <v/>
      </c>
      <c r="E61" s="148">
        <f>E44 + $M$13</f>
        <v/>
      </c>
      <c r="F61" s="148">
        <f>F44 + $M$13</f>
        <v/>
      </c>
      <c r="G61" s="148">
        <f>G44 + $M$13</f>
        <v/>
      </c>
      <c r="H61" s="148">
        <f>H44 + $M$13</f>
        <v/>
      </c>
      <c r="I61" s="149">
        <f>I44 + $M$13</f>
        <v/>
      </c>
      <c r="K61" s="132">
        <f>$B$27</f>
        <v/>
      </c>
      <c r="L61" s="147">
        <f>L44 + $M$13</f>
        <v/>
      </c>
      <c r="M61" s="148">
        <f>M44 + $M$13</f>
        <v/>
      </c>
      <c r="N61" s="148">
        <f>N44 + $M$13</f>
        <v/>
      </c>
      <c r="O61" s="148">
        <f>O44 + $M$13</f>
        <v/>
      </c>
      <c r="P61" s="148">
        <f>P44 + $M$13</f>
        <v/>
      </c>
      <c r="Q61" s="148">
        <f>Q44 + $M$13</f>
        <v/>
      </c>
      <c r="R61" s="149">
        <f>R44 + $M$13</f>
        <v/>
      </c>
      <c r="T61" s="132">
        <f>$B$27</f>
        <v/>
      </c>
      <c r="U61" s="150" t="inlineStr">
        <is>
          <t>N/A</t>
        </is>
      </c>
      <c r="V61" s="151" t="inlineStr">
        <is>
          <t>N/A</t>
        </is>
      </c>
      <c r="W61" s="151" t="inlineStr">
        <is>
          <t>N/A</t>
        </is>
      </c>
      <c r="X61" s="151" t="inlineStr">
        <is>
          <t>N/A</t>
        </is>
      </c>
      <c r="Y61" s="151" t="inlineStr">
        <is>
          <t>N/A</t>
        </is>
      </c>
      <c r="Z61" s="151" t="inlineStr">
        <is>
          <t>N/A</t>
        </is>
      </c>
      <c r="AA61" s="152" t="inlineStr">
        <is>
          <t>N/A</t>
        </is>
      </c>
    </row>
    <row r="62">
      <c r="B62" s="132">
        <f>$B$28</f>
        <v/>
      </c>
      <c r="C62" s="147">
        <f>C45 + $M$13</f>
        <v/>
      </c>
      <c r="D62" s="148">
        <f>D45 + $M$13</f>
        <v/>
      </c>
      <c r="E62" s="148">
        <f>E45 + $M$13</f>
        <v/>
      </c>
      <c r="F62" s="148">
        <f>F45 + $M$13</f>
        <v/>
      </c>
      <c r="G62" s="148">
        <f>G45 + $M$13</f>
        <v/>
      </c>
      <c r="H62" s="148">
        <f>H45 + $M$13</f>
        <v/>
      </c>
      <c r="I62" s="149">
        <f>I45 + $M$13</f>
        <v/>
      </c>
      <c r="K62" s="132">
        <f>$B$28</f>
        <v/>
      </c>
      <c r="L62" s="147">
        <f>L45 + $M$13</f>
        <v/>
      </c>
      <c r="M62" s="148">
        <f>M45 + $M$13</f>
        <v/>
      </c>
      <c r="N62" s="148">
        <f>N45 + $M$13</f>
        <v/>
      </c>
      <c r="O62" s="148">
        <f>O45 + $M$13</f>
        <v/>
      </c>
      <c r="P62" s="148">
        <f>P45 + $M$13</f>
        <v/>
      </c>
      <c r="Q62" s="148">
        <f>Q45 + $M$13</f>
        <v/>
      </c>
      <c r="R62" s="149">
        <f>R45 + $M$13</f>
        <v/>
      </c>
      <c r="T62" s="132">
        <f>$B$28</f>
        <v/>
      </c>
      <c r="U62" s="150" t="inlineStr">
        <is>
          <t>N/A</t>
        </is>
      </c>
      <c r="V62" s="151" t="inlineStr">
        <is>
          <t>N/A</t>
        </is>
      </c>
      <c r="W62" s="151" t="inlineStr">
        <is>
          <t>N/A</t>
        </is>
      </c>
      <c r="X62" s="151" t="inlineStr">
        <is>
          <t>N/A</t>
        </is>
      </c>
      <c r="Y62" s="151" t="inlineStr">
        <is>
          <t>N/A</t>
        </is>
      </c>
      <c r="Z62" s="151" t="inlineStr">
        <is>
          <t>N/A</t>
        </is>
      </c>
      <c r="AA62" s="152" t="inlineStr">
        <is>
          <t>N/A</t>
        </is>
      </c>
    </row>
    <row r="63">
      <c r="B63" s="132">
        <f>$B$29</f>
        <v/>
      </c>
      <c r="C63" s="147">
        <f>C46 + $M$13</f>
        <v/>
      </c>
      <c r="D63" s="148">
        <f>D46 + $M$13</f>
        <v/>
      </c>
      <c r="E63" s="148">
        <f>E46 + $M$13</f>
        <v/>
      </c>
      <c r="F63" s="148">
        <f>F46 + $M$13</f>
        <v/>
      </c>
      <c r="G63" s="148">
        <f>G46 + $M$13</f>
        <v/>
      </c>
      <c r="H63" s="148">
        <f>H46 + $M$13</f>
        <v/>
      </c>
      <c r="I63" s="149">
        <f>I46 + $M$13</f>
        <v/>
      </c>
      <c r="K63" s="132">
        <f>$B$29</f>
        <v/>
      </c>
      <c r="L63" s="147">
        <f>L46 + $M$13</f>
        <v/>
      </c>
      <c r="M63" s="148">
        <f>M46 + $M$13</f>
        <v/>
      </c>
      <c r="N63" s="148">
        <f>N46 + $M$13</f>
        <v/>
      </c>
      <c r="O63" s="148">
        <f>O46 + $M$13</f>
        <v/>
      </c>
      <c r="P63" s="148">
        <f>P46 + $M$13</f>
        <v/>
      </c>
      <c r="Q63" s="148">
        <f>Q46 + $M$13</f>
        <v/>
      </c>
      <c r="R63" s="149">
        <f>R46 + $M$13</f>
        <v/>
      </c>
      <c r="T63" s="132">
        <f>$B$29</f>
        <v/>
      </c>
      <c r="U63" s="150" t="inlineStr">
        <is>
          <t>N/A</t>
        </is>
      </c>
      <c r="V63" s="151" t="inlineStr">
        <is>
          <t>N/A</t>
        </is>
      </c>
      <c r="W63" s="151" t="inlineStr">
        <is>
          <t>N/A</t>
        </is>
      </c>
      <c r="X63" s="151" t="inlineStr">
        <is>
          <t>N/A</t>
        </is>
      </c>
      <c r="Y63" s="151" t="inlineStr">
        <is>
          <t>N/A</t>
        </is>
      </c>
      <c r="Z63" s="151" t="inlineStr">
        <is>
          <t>N/A</t>
        </is>
      </c>
      <c r="AA63" s="152" t="inlineStr">
        <is>
          <t>N/A</t>
        </is>
      </c>
    </row>
    <row r="64">
      <c r="B64" s="132">
        <f>$B$30</f>
        <v/>
      </c>
      <c r="C64" s="147">
        <f>C47 + $M$13</f>
        <v/>
      </c>
      <c r="D64" s="148">
        <f>D47 + $M$13</f>
        <v/>
      </c>
      <c r="E64" s="148">
        <f>E47 + $M$13</f>
        <v/>
      </c>
      <c r="F64" s="148">
        <f>F47 + $M$13</f>
        <v/>
      </c>
      <c r="G64" s="148">
        <f>G47 + $M$13</f>
        <v/>
      </c>
      <c r="H64" s="148">
        <f>H47 + $M$13</f>
        <v/>
      </c>
      <c r="I64" s="149">
        <f>I47 + $M$13</f>
        <v/>
      </c>
      <c r="K64" s="132">
        <f>$B$30</f>
        <v/>
      </c>
      <c r="L64" s="147">
        <f>L47 + $M$13</f>
        <v/>
      </c>
      <c r="M64" s="148">
        <f>M47 + $M$13</f>
        <v/>
      </c>
      <c r="N64" s="148">
        <f>N47 + $M$13</f>
        <v/>
      </c>
      <c r="O64" s="148">
        <f>O47 + $M$13</f>
        <v/>
      </c>
      <c r="P64" s="148">
        <f>P47 + $M$13</f>
        <v/>
      </c>
      <c r="Q64" s="148">
        <f>Q47 + $M$13</f>
        <v/>
      </c>
      <c r="R64" s="149">
        <f>R47 + $M$13</f>
        <v/>
      </c>
      <c r="T64" s="132">
        <f>$B$30</f>
        <v/>
      </c>
      <c r="U64" s="147">
        <f>U47 + $M$13</f>
        <v/>
      </c>
      <c r="V64" s="148">
        <f>V47 + $M$13</f>
        <v/>
      </c>
      <c r="W64" s="148">
        <f>W47 + $M$13</f>
        <v/>
      </c>
      <c r="X64" s="148">
        <f>X47 + $M$13</f>
        <v/>
      </c>
      <c r="Y64" s="148">
        <f>Y47 + $M$13</f>
        <v/>
      </c>
      <c r="Z64" s="148">
        <f>Z47 + $M$13</f>
        <v/>
      </c>
      <c r="AA64" s="149">
        <f>AA47 + $M$13</f>
        <v/>
      </c>
    </row>
    <row r="65">
      <c r="B65" s="132">
        <f>$B$31</f>
        <v/>
      </c>
      <c r="C65" s="147">
        <f>C48 + $M$13</f>
        <v/>
      </c>
      <c r="D65" s="148">
        <f>D48 + $M$13</f>
        <v/>
      </c>
      <c r="E65" s="148">
        <f>E48 + $M$13</f>
        <v/>
      </c>
      <c r="F65" s="148">
        <f>F48 + $M$13</f>
        <v/>
      </c>
      <c r="G65" s="148">
        <f>G48 + $M$13</f>
        <v/>
      </c>
      <c r="H65" s="148">
        <f>H48 + $M$13</f>
        <v/>
      </c>
      <c r="I65" s="149">
        <f>I48 + $M$13</f>
        <v/>
      </c>
      <c r="K65" s="132">
        <f>$B$31</f>
        <v/>
      </c>
      <c r="L65" s="147">
        <f>L48 + $M$13</f>
        <v/>
      </c>
      <c r="M65" s="148">
        <f>M48 + $M$13</f>
        <v/>
      </c>
      <c r="N65" s="148">
        <f>N48 + $M$13</f>
        <v/>
      </c>
      <c r="O65" s="148">
        <f>O48 + $M$13</f>
        <v/>
      </c>
      <c r="P65" s="148">
        <f>P48 + $M$13</f>
        <v/>
      </c>
      <c r="Q65" s="148">
        <f>Q48 + $M$13</f>
        <v/>
      </c>
      <c r="R65" s="149">
        <f>R48 + $M$13</f>
        <v/>
      </c>
      <c r="T65" s="132">
        <f>$B$31</f>
        <v/>
      </c>
      <c r="U65" s="147">
        <f>U48 + $M$13</f>
        <v/>
      </c>
      <c r="V65" s="148">
        <f>V48 + $M$13</f>
        <v/>
      </c>
      <c r="W65" s="148">
        <f>W48 + $M$13</f>
        <v/>
      </c>
      <c r="X65" s="148">
        <f>X48 + $M$13</f>
        <v/>
      </c>
      <c r="Y65" s="148">
        <f>Y48 + $M$13</f>
        <v/>
      </c>
      <c r="Z65" s="148">
        <f>Z48 + $M$13</f>
        <v/>
      </c>
      <c r="AA65" s="149">
        <f>AA48 + $M$13</f>
        <v/>
      </c>
    </row>
    <row r="66">
      <c r="B66" s="140">
        <f>$B$32</f>
        <v/>
      </c>
      <c r="C66" s="153">
        <f>C49 + $M$13</f>
        <v/>
      </c>
      <c r="D66" s="154">
        <f>D49 + $M$13</f>
        <v/>
      </c>
      <c r="E66" s="154">
        <f>E49 + $M$13</f>
        <v/>
      </c>
      <c r="F66" s="154">
        <f>F49 + $M$13</f>
        <v/>
      </c>
      <c r="G66" s="154">
        <f>G49 + $M$13</f>
        <v/>
      </c>
      <c r="H66" s="154">
        <f>H49 + $M$13</f>
        <v/>
      </c>
      <c r="I66" s="155">
        <f>I49 + $M$13</f>
        <v/>
      </c>
      <c r="K66" s="140">
        <f>$B$32</f>
        <v/>
      </c>
      <c r="L66" s="153">
        <f>L49 + $M$13</f>
        <v/>
      </c>
      <c r="M66" s="154">
        <f>M49 + $M$13</f>
        <v/>
      </c>
      <c r="N66" s="154">
        <f>N49 + $M$13</f>
        <v/>
      </c>
      <c r="O66" s="154">
        <f>O49 + $M$13</f>
        <v/>
      </c>
      <c r="P66" s="154">
        <f>P49 + $M$13</f>
        <v/>
      </c>
      <c r="Q66" s="154">
        <f>Q49 + $M$13</f>
        <v/>
      </c>
      <c r="R66" s="155">
        <f>R49 + $M$13</f>
        <v/>
      </c>
      <c r="T66" s="140">
        <f>$B$32</f>
        <v/>
      </c>
      <c r="U66" s="153">
        <f>U49 + $M$13</f>
        <v/>
      </c>
      <c r="V66" s="154">
        <f>V49 + $M$13</f>
        <v/>
      </c>
      <c r="W66" s="154">
        <f>W49 + $M$13</f>
        <v/>
      </c>
      <c r="X66" s="154">
        <f>X49 + $M$13</f>
        <v/>
      </c>
      <c r="Y66" s="154">
        <f>Y49 + $M$13</f>
        <v/>
      </c>
      <c r="Z66" s="154">
        <f>Z49 + $M$13</f>
        <v/>
      </c>
      <c r="AA66" s="155">
        <f>AA49 + $M$13</f>
        <v/>
      </c>
    </row>
    <row r="67">
      <c r="B67" s="2" t="n"/>
      <c r="C67" s="2" t="n"/>
      <c r="D67" s="2" t="n"/>
      <c r="E67" s="2" t="n"/>
      <c r="F67" s="2" t="n"/>
      <c r="G67" s="2" t="n"/>
      <c r="H67" s="2" t="n"/>
      <c r="I67" s="2" t="n"/>
    </row>
    <row r="102">
      <c r="C102" s="156" t="n"/>
      <c r="D102" s="26" t="n"/>
      <c r="E102" s="26" t="n"/>
      <c r="J102" s="156" t="n"/>
      <c r="R102" s="156" t="n"/>
    </row>
    <row r="103">
      <c r="E103" s="27" t="n"/>
      <c r="F103" s="27" t="n"/>
      <c r="G103" s="27" t="n"/>
      <c r="H103" s="27" t="n"/>
      <c r="I103" s="27" t="n"/>
      <c r="L103" s="27" t="n"/>
      <c r="M103" s="27" t="n"/>
      <c r="N103" s="27" t="n"/>
      <c r="O103" s="27" t="n"/>
      <c r="P103" s="27" t="n"/>
      <c r="Q103" s="27" t="n"/>
    </row>
  </sheetData>
  <mergeCells count="53">
    <mergeCell ref="F4:G4"/>
    <mergeCell ref="F11:G11"/>
    <mergeCell ref="D10:E10"/>
    <mergeCell ref="B7:C7"/>
    <mergeCell ref="F10:G10"/>
    <mergeCell ref="C17:I17"/>
    <mergeCell ref="H10:I10"/>
    <mergeCell ref="L34:R34"/>
    <mergeCell ref="F6:G6"/>
    <mergeCell ref="H4:I4"/>
    <mergeCell ref="H9:I9"/>
    <mergeCell ref="U51:AA51"/>
    <mergeCell ref="F7:G7"/>
    <mergeCell ref="D6:E6"/>
    <mergeCell ref="F12:G12"/>
    <mergeCell ref="H6:I6"/>
    <mergeCell ref="B11:C11"/>
    <mergeCell ref="D11:E11"/>
    <mergeCell ref="D13:E13"/>
    <mergeCell ref="F5:G5"/>
    <mergeCell ref="L17:R17"/>
    <mergeCell ref="C34:I34"/>
    <mergeCell ref="U34:AA34"/>
    <mergeCell ref="C15:I15"/>
    <mergeCell ref="B8:C8"/>
    <mergeCell ref="U15:AA15"/>
    <mergeCell ref="F8:G8"/>
    <mergeCell ref="B13:C13"/>
    <mergeCell ref="H11:I11"/>
    <mergeCell ref="D7:E7"/>
    <mergeCell ref="K4:M4"/>
    <mergeCell ref="H7:I7"/>
    <mergeCell ref="B10:C10"/>
    <mergeCell ref="D4:E4"/>
    <mergeCell ref="F13:G13"/>
    <mergeCell ref="U17:AA17"/>
    <mergeCell ref="L15:R15"/>
    <mergeCell ref="D9:E9"/>
    <mergeCell ref="H13:I13"/>
    <mergeCell ref="F9:G9"/>
    <mergeCell ref="D12:E12"/>
    <mergeCell ref="D8:E8"/>
    <mergeCell ref="B6:C6"/>
    <mergeCell ref="K7:L7"/>
    <mergeCell ref="H12:I12"/>
    <mergeCell ref="B5:C5"/>
    <mergeCell ref="D5:E5"/>
    <mergeCell ref="K10:L10"/>
    <mergeCell ref="H5:I5"/>
    <mergeCell ref="L51:R51"/>
    <mergeCell ref="H8:I8"/>
    <mergeCell ref="K13:L13"/>
    <mergeCell ref="C51:I51"/>
  </mergeCells>
  <conditionalFormatting sqref="C19:I32 L19:R32 U19:AA32">
    <cfRule type="colorScale" priority="4">
      <colorScale>
        <cfvo type="min"/>
        <cfvo type="percentile" val="50"/>
        <cfvo type="max"/>
        <color rgb="FFF8696B"/>
        <color theme="0" tint="-0.1499984740745262"/>
        <color rgb="FF63BE7B"/>
      </colorScale>
    </cfRule>
  </conditionalFormatting>
  <conditionalFormatting sqref="C36:I49 L36:R49 U36:AA49">
    <cfRule type="colorScale" priority="5">
      <colorScale>
        <cfvo type="min"/>
        <cfvo type="percentile" val="50"/>
        <cfvo type="max"/>
        <color rgb="FF63BE7B"/>
        <color theme="0" tint="-0.1499984740745262"/>
        <color rgb="FFF8696B"/>
      </colorScale>
    </cfRule>
  </conditionalFormatting>
  <conditionalFormatting sqref="C19:I32 C36:I49 C53:I66">
    <cfRule type="expression" priority="7" dxfId="0">
      <formula>$B19&lt;$D$13</formula>
    </cfRule>
  </conditionalFormatting>
  <conditionalFormatting sqref="C53:I66 L53:R66 U53:AA66">
    <cfRule type="colorScale" priority="6">
      <colorScale>
        <cfvo type="min"/>
        <cfvo type="percentile" val="50"/>
        <cfvo type="max"/>
        <color rgb="FF63BE7B"/>
        <color theme="0" tint="-0.1499984740745262"/>
        <color rgb="FFF8696B"/>
      </colorScale>
    </cfRule>
  </conditionalFormatting>
  <conditionalFormatting sqref="L19:R32 L36:R49 L53:R66">
    <cfRule type="expression" priority="2" dxfId="0">
      <formula>$K19&lt;$F$13</formula>
    </cfRule>
  </conditionalFormatting>
  <conditionalFormatting sqref="U19:AA32 U36:AA49 U53:AA66">
    <cfRule type="expression" priority="1" dxfId="0">
      <formula>$T19&lt;$H$13</formula>
    </cfRule>
  </conditionalFormatting>
  <dataValidations count="2">
    <dataValidation sqref="D11:I11" showDropDown="0" showInputMessage="1" showErrorMessage="1" allowBlank="1" type="whole" operator="greaterThanOrEqual">
      <formula1>1</formula1>
    </dataValidation>
    <dataValidation sqref="B19:B32 C18:I18 M13" showDropDown="0" showInputMessage="1" showErrorMessage="1" allowBlank="1" type="decimal" operator="greaterThanOrEqual">
      <formula1>0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C23" sqref="C23"/>
    </sheetView>
  </sheetViews>
  <sheetFormatPr baseColWidth="10" defaultColWidth="8.6640625" defaultRowHeight="15"/>
  <cols>
    <col width="24.5" customWidth="1" style="35" min="1" max="1"/>
    <col width="16" customWidth="1" style="35" min="2" max="2"/>
    <col width="8.6640625" customWidth="1" style="35" min="3" max="16384"/>
  </cols>
  <sheetData>
    <row r="1" ht="18.5" customHeight="1">
      <c r="A1" s="34" t="inlineStr">
        <is>
          <t>Initial Factory Parameters</t>
        </is>
      </c>
    </row>
    <row r="2" ht="19" customHeight="1">
      <c r="A2" s="36" t="inlineStr">
        <is>
          <t>Technology</t>
        </is>
      </c>
      <c r="B2" s="36" t="inlineStr">
        <is>
          <t>Bench</t>
        </is>
      </c>
    </row>
    <row r="3" ht="19" customHeight="1">
      <c r="A3" s="36" t="inlineStr">
        <is>
          <t>K</t>
        </is>
      </c>
      <c r="B3" s="157" t="n">
        <v>100000</v>
      </c>
    </row>
    <row r="4" ht="19" customHeight="1">
      <c r="A4" s="36" t="inlineStr">
        <is>
          <t>Ldaily</t>
        </is>
      </c>
      <c r="B4" s="157" t="inlineStr">
        <is>
          <t>$2,500 / day</t>
        </is>
      </c>
    </row>
    <row r="5" ht="19" customHeight="1">
      <c r="A5" s="36" t="inlineStr">
        <is>
          <t>Batch size</t>
        </is>
      </c>
      <c r="B5" s="36" t="inlineStr">
        <is>
          <t>100 units</t>
        </is>
      </c>
    </row>
    <row r="6" ht="19" customHeight="1"/>
    <row r="7" ht="19" customHeight="1">
      <c r="A7" s="34" t="inlineStr">
        <is>
          <t>Initial Distribution Center Parameters</t>
        </is>
      </c>
    </row>
    <row r="8" ht="19" customHeight="1">
      <c r="A8" s="36" t="inlineStr">
        <is>
          <t>Heart View Price</t>
        </is>
      </c>
      <c r="B8" s="158" t="inlineStr">
        <is>
          <t>$700 / unit</t>
        </is>
      </c>
    </row>
    <row r="9" ht="19" customHeight="1">
      <c r="A9" s="36" t="inlineStr">
        <is>
          <t>Handling Cost</t>
        </is>
      </c>
      <c r="B9" s="36" t="inlineStr">
        <is>
          <t>$10 / unit</t>
        </is>
      </c>
    </row>
    <row r="10" ht="19" customHeight="1">
      <c r="A10" s="36" t="inlineStr">
        <is>
          <t>Sales Commission</t>
        </is>
      </c>
      <c r="B10" s="36" t="inlineStr">
        <is>
          <t>20% of price</t>
        </is>
      </c>
    </row>
    <row r="11" ht="19" customHeight="1"/>
    <row r="12" ht="19" customHeight="1">
      <c r="A12" s="34" t="inlineStr">
        <is>
          <t>Other</t>
        </is>
      </c>
    </row>
    <row r="13" ht="19" customHeight="1">
      <c r="A13" s="36" t="inlineStr">
        <is>
          <t>Tax Rate</t>
        </is>
      </c>
      <c r="B13" s="39" t="n">
        <v>0.35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C14"/>
  <sheetViews>
    <sheetView showGridLines="0" tabSelected="1" workbookViewId="0">
      <selection activeCell="A1" sqref="A1"/>
    </sheetView>
  </sheetViews>
  <sheetFormatPr baseColWidth="10" defaultColWidth="26.5" defaultRowHeight="15"/>
  <cols>
    <col width="32.5" customWidth="1" min="1" max="1"/>
    <col width="17.1640625" customWidth="1" min="2" max="3"/>
  </cols>
  <sheetData>
    <row r="3" ht="16" customHeight="1" thickBot="1">
      <c r="A3" s="159" t="n"/>
      <c r="B3" s="160" t="inlineStr">
        <is>
          <t>Per Unit</t>
        </is>
      </c>
      <c r="C3" s="160" t="inlineStr">
        <is>
          <t>Per Day</t>
        </is>
      </c>
    </row>
    <row r="4" ht="21" customHeight="1" thickBot="1">
      <c r="A4" s="44" t="inlineStr">
        <is>
          <t>Revenue</t>
        </is>
      </c>
      <c r="B4" s="161" t="n">
        <v>700</v>
      </c>
      <c r="C4" s="161">
        <f>B4*9.0443</f>
        <v/>
      </c>
    </row>
    <row r="5" ht="21" customHeight="1" thickBot="1">
      <c r="A5" s="44" t="inlineStr">
        <is>
          <t>Manufacturing Overhead</t>
        </is>
      </c>
      <c r="B5" s="161" t="n">
        <v>278.45</v>
      </c>
      <c r="C5" s="161">
        <f>2500+100000/15/364</f>
        <v/>
      </c>
    </row>
    <row r="6" ht="21" customHeight="1" thickBot="1">
      <c r="A6" s="44" t="inlineStr">
        <is>
          <t>Materials</t>
        </is>
      </c>
      <c r="B6" s="161" t="n">
        <v>100</v>
      </c>
      <c r="C6" s="161">
        <f>B6*9.0443</f>
        <v/>
      </c>
    </row>
    <row r="7" ht="21" customHeight="1" thickBot="1">
      <c r="A7" s="44" t="inlineStr">
        <is>
          <t>Shipping</t>
        </is>
      </c>
      <c r="B7" s="161" t="n">
        <v>50</v>
      </c>
      <c r="C7" s="161">
        <f>B7*9.0443</f>
        <v/>
      </c>
    </row>
    <row r="8" ht="21" customHeight="1" thickBot="1">
      <c r="A8" s="44" t="inlineStr">
        <is>
          <t>Handling ($10 per unit)</t>
        </is>
      </c>
      <c r="B8" s="161" t="n">
        <v>10</v>
      </c>
      <c r="C8" s="161">
        <f>B8*9.0443</f>
        <v/>
      </c>
    </row>
    <row r="9" ht="21" customHeight="1" thickBot="1">
      <c r="A9" s="45" t="inlineStr">
        <is>
          <t>Commission (20% of revenue)</t>
        </is>
      </c>
      <c r="B9" s="162">
        <f>B4*0.2</f>
        <v/>
      </c>
      <c r="C9" s="162">
        <f>C4*0.2</f>
        <v/>
      </c>
    </row>
    <row r="10" ht="21" customHeight="1" thickBot="1">
      <c r="A10" s="163" t="inlineStr">
        <is>
          <t>Contribution Margin before Tax</t>
        </is>
      </c>
      <c r="B10" s="164">
        <f>B4-B5-B6-B7-B8-B9</f>
        <v/>
      </c>
      <c r="C10" s="164">
        <f>C4-C5-C6-C7-C8-C9</f>
        <v/>
      </c>
    </row>
    <row r="11" ht="21" customHeight="1" thickBot="1">
      <c r="A11" s="45" t="inlineStr">
        <is>
          <t>Tax (35% tax rate)</t>
        </is>
      </c>
      <c r="B11" s="162">
        <f>B10*0.35</f>
        <v/>
      </c>
      <c r="C11" s="162">
        <f>C10*0.35</f>
        <v/>
      </c>
    </row>
    <row r="12" ht="21" customHeight="1" thickBot="1">
      <c r="A12" s="163" t="inlineStr">
        <is>
          <t>Contribution Margin after Tax</t>
        </is>
      </c>
      <c r="B12" s="164">
        <f>B10-B11</f>
        <v/>
      </c>
      <c r="C12" s="164">
        <f>C10-C11</f>
        <v/>
      </c>
    </row>
    <row r="14">
      <c r="A14" s="165" t="inlineStr">
        <is>
          <t>Note: Scenario (a) — P=$700, Bench factory K=$100K, L=$2,500/day, batch=100, in-region container shipping ($5K/100 = $50/unit). Throughput = 9.0443 units/day at these parameters.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Lev</dc:creator>
  <dcterms:created xmlns:dcterms="http://purl.org/dc/terms/" xmlns:xsi="http://www.w3.org/2001/XMLSchema-instance" xsi:type="dcterms:W3CDTF">2014-10-26T01:57:07Z</dcterms:created>
  <dcterms:modified xmlns:dcterms="http://purl.org/dc/terms/" xmlns:xsi="http://www.w3.org/2001/XMLSchema-instance" xsi:type="dcterms:W3CDTF">2026-04-13T03:43:45Z</dcterms:modified>
  <cp:lastModifiedBy>Fitzgerald, Kathleen</cp:lastModifiedBy>
</cp:coreProperties>
</file>