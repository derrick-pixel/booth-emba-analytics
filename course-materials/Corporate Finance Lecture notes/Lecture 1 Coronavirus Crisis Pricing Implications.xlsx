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pverone\Downloads\"/>
    </mc:Choice>
  </mc:AlternateContent>
  <bookViews>
    <workbookView xWindow="0" yWindow="0" windowWidth="19200" windowHeight="6588"/>
  </bookViews>
  <sheets>
    <sheet name="GordonGrowthModel" sheetId="2" r:id="rId1"/>
    <sheet name="Modified_GGM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2" i="2" l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D10" i="2"/>
  <c r="B8" i="2"/>
  <c r="B22" i="1" l="1"/>
  <c r="B26" i="1"/>
  <c r="B25" i="1" s="1"/>
  <c r="B23" i="1" s="1"/>
  <c r="B9" i="1" l="1"/>
  <c r="D10" i="1"/>
  <c r="B8" i="1" l="1"/>
  <c r="D32" i="1" l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B10" i="1" l="1"/>
</calcChain>
</file>

<file path=xl/sharedStrings.xml><?xml version="1.0" encoding="utf-8"?>
<sst xmlns="http://schemas.openxmlformats.org/spreadsheetml/2006/main" count="29" uniqueCount="20">
  <si>
    <t>Market Risk Premium</t>
  </si>
  <si>
    <t>Risk-Free Rate</t>
  </si>
  <si>
    <t>Time</t>
  </si>
  <si>
    <t>Growth Rate (Long Term)</t>
  </si>
  <si>
    <t>Price Decline from No Recession Scenario</t>
  </si>
  <si>
    <t>Dividends</t>
  </si>
  <si>
    <t>Assumptions (Annual Values)</t>
  </si>
  <si>
    <t>P/D with Recession</t>
  </si>
  <si>
    <t>P/D without Recession</t>
  </si>
  <si>
    <t>P/D Feb 19</t>
  </si>
  <si>
    <t>P/D March 23</t>
  </si>
  <si>
    <t>Drop</t>
  </si>
  <si>
    <t>(Growth in Recession)</t>
  </si>
  <si>
    <t>Terminal Value at n</t>
  </si>
  <si>
    <t>Dividend at n+1</t>
  </si>
  <si>
    <t>Dividend at n</t>
  </si>
  <si>
    <t>Growing Annuity (from 1 to n)</t>
  </si>
  <si>
    <t>Growth Rate (Initial until n)</t>
  </si>
  <si>
    <t>Recession Length in Years (n)</t>
  </si>
  <si>
    <t>P/D (Gordon Growth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</si>
</sst>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2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3" borderId="0" xfId="2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2" fontId="0" fillId="0" borderId="0" xfId="1" applyNumberFormat="1" applyFont="1" applyFill="1" applyAlignment="1">
      <alignment horizontal="center" vertical="center"/>
    </xf>
    <xf numFmtId="0" fontId="0" fillId="0" borderId="0" xfId="0" applyFill="1" applyAlignment="1">
      <alignment wrapText="1"/>
    </xf>
    <xf numFmtId="10" fontId="0" fillId="0" borderId="0" xfId="2" applyNumberFormat="1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0" fontId="3" fillId="4" borderId="0" xfId="2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0" fontId="3" fillId="2" borderId="0" xfId="2" applyNumberFormat="1" applyFont="1" applyFill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3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Stock</a:t>
            </a:r>
            <a:r>
              <a:rPr lang="en-US" sz="2000" baseline="0"/>
              <a:t> Dividends Over Time</a:t>
            </a:r>
            <a:endParaRPr lang="en-US" sz="2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GordonGrowthModel!$C$31:$AH$31</c:f>
              <c:numCache>
                <c:formatCode>General</c:formatCode>
                <c:ptCount val="32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</c:numCache>
            </c:numRef>
          </c:xVal>
          <c:yVal>
            <c:numRef>
              <c:f>GordonGrowthModel!$C$32:$AH$32</c:f>
              <c:numCache>
                <c:formatCode>0.00</c:formatCode>
                <c:ptCount val="32"/>
                <c:pt idx="0">
                  <c:v>1</c:v>
                </c:pt>
                <c:pt idx="1">
                  <c:v>1.0569</c:v>
                </c:pt>
                <c:pt idx="2">
                  <c:v>1.1170376099999999</c:v>
                </c:pt>
                <c:pt idx="3">
                  <c:v>1.1805970500089999</c:v>
                </c:pt>
                <c:pt idx="4">
                  <c:v>1.247773022154512</c:v>
                </c:pt>
                <c:pt idx="5">
                  <c:v>1.3187713071151037</c:v>
                </c:pt>
                <c:pt idx="6">
                  <c:v>1.393809394489953</c:v>
                </c:pt>
                <c:pt idx="7">
                  <c:v>1.4731171490364312</c:v>
                </c:pt>
                <c:pt idx="8">
                  <c:v>1.556937514816604</c:v>
                </c:pt>
                <c:pt idx="9">
                  <c:v>1.6455272594096688</c:v>
                </c:pt>
                <c:pt idx="10">
                  <c:v>1.739157760470079</c:v>
                </c:pt>
                <c:pt idx="11">
                  <c:v>1.8381158370408264</c:v>
                </c:pt>
                <c:pt idx="12">
                  <c:v>1.9427046281684492</c:v>
                </c:pt>
                <c:pt idx="13">
                  <c:v>2.053244521511234</c:v>
                </c:pt>
                <c:pt idx="14">
                  <c:v>2.170074134785223</c:v>
                </c:pt>
                <c:pt idx="15">
                  <c:v>2.293551353054502</c:v>
                </c:pt>
                <c:pt idx="16">
                  <c:v>2.4240544250433032</c:v>
                </c:pt>
                <c:pt idx="17">
                  <c:v>2.5619831218282672</c:v>
                </c:pt>
                <c:pt idx="18">
                  <c:v>2.7077599614602956</c:v>
                </c:pt>
                <c:pt idx="19">
                  <c:v>2.8618315032673864</c:v>
                </c:pt>
                <c:pt idx="20">
                  <c:v>3.0246697158033005</c:v>
                </c:pt>
                <c:pt idx="21">
                  <c:v>3.196773422632508</c:v>
                </c:pt>
                <c:pt idx="22">
                  <c:v>3.3786698303802973</c:v>
                </c:pt>
                <c:pt idx="23">
                  <c:v>3.5709161437289363</c:v>
                </c:pt>
                <c:pt idx="24">
                  <c:v>3.7741012723071128</c:v>
                </c:pt>
                <c:pt idx="25">
                  <c:v>3.9888476347013873</c:v>
                </c:pt>
                <c:pt idx="26">
                  <c:v>4.2158130651158956</c:v>
                </c:pt>
                <c:pt idx="27">
                  <c:v>4.4556928285209896</c:v>
                </c:pt>
                <c:pt idx="28">
                  <c:v>4.7092217504638336</c:v>
                </c:pt>
                <c:pt idx="29">
                  <c:v>4.9771764680652257</c:v>
                </c:pt>
                <c:pt idx="30">
                  <c:v>5.260377809098137</c:v>
                </c:pt>
                <c:pt idx="31">
                  <c:v>5.5596933064358209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7-4553-83CC-4933543A8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06767"/>
        <c:axId val="1681000287"/>
      </c:scatterChart>
      <c:valAx>
        <c:axId val="1681006767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Years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00287"/>
        <c:crosses val="autoZero"/>
        <c:crossBetween val="midCat"/>
      </c:valAx>
      <c:valAx>
        <c:axId val="16810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0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Stock</a:t>
            </a:r>
            <a:r>
              <a:rPr lang="en-US" sz="2000" baseline="0"/>
              <a:t> Dividends Over Time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Modified_GGM!$C$31:$AH$31</c:f>
              <c:numCache>
                <c:formatCode>General</c:formatCode>
                <c:ptCount val="32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</c:numCache>
            </c:numRef>
          </c:xVal>
          <c:yVal>
            <c:numRef>
              <c:f>Modified_GGM!$C$32:$AH$32</c:f>
              <c:numCache>
                <c:formatCode>0.00</c:formatCode>
                <c:ptCount val="32"/>
                <c:pt idx="0">
                  <c:v>1</c:v>
                </c:pt>
                <c:pt idx="1">
                  <c:v>1.0569</c:v>
                </c:pt>
                <c:pt idx="2">
                  <c:v>1.1170376099999999</c:v>
                </c:pt>
                <c:pt idx="3">
                  <c:v>1.1805970500089999</c:v>
                </c:pt>
                <c:pt idx="4">
                  <c:v>1.247773022154512</c:v>
                </c:pt>
                <c:pt idx="5">
                  <c:v>1.3187713071151037</c:v>
                </c:pt>
                <c:pt idx="6">
                  <c:v>1.393809394489953</c:v>
                </c:pt>
                <c:pt idx="7">
                  <c:v>1.4731171490364312</c:v>
                </c:pt>
                <c:pt idx="8">
                  <c:v>1.556937514816604</c:v>
                </c:pt>
                <c:pt idx="9">
                  <c:v>1.6455272594096688</c:v>
                </c:pt>
                <c:pt idx="10">
                  <c:v>1.739157760470079</c:v>
                </c:pt>
                <c:pt idx="11">
                  <c:v>1.8381158370408264</c:v>
                </c:pt>
                <c:pt idx="12">
                  <c:v>1.9427046281684492</c:v>
                </c:pt>
                <c:pt idx="13">
                  <c:v>2.053244521511234</c:v>
                </c:pt>
                <c:pt idx="14">
                  <c:v>2.170074134785223</c:v>
                </c:pt>
                <c:pt idx="15">
                  <c:v>2.293551353054502</c:v>
                </c:pt>
                <c:pt idx="16">
                  <c:v>2.4240544250433032</c:v>
                </c:pt>
                <c:pt idx="17">
                  <c:v>2.5619831218282672</c:v>
                </c:pt>
                <c:pt idx="18">
                  <c:v>2.7077599614602956</c:v>
                </c:pt>
                <c:pt idx="19">
                  <c:v>2.8618315032673864</c:v>
                </c:pt>
                <c:pt idx="20">
                  <c:v>3.0246697158033005</c:v>
                </c:pt>
                <c:pt idx="21">
                  <c:v>3.196773422632508</c:v>
                </c:pt>
                <c:pt idx="22">
                  <c:v>3.3786698303802973</c:v>
                </c:pt>
                <c:pt idx="23">
                  <c:v>3.5709161437289363</c:v>
                </c:pt>
                <c:pt idx="24">
                  <c:v>3.7741012723071128</c:v>
                </c:pt>
                <c:pt idx="25">
                  <c:v>3.9888476347013873</c:v>
                </c:pt>
                <c:pt idx="26">
                  <c:v>4.2158130651158956</c:v>
                </c:pt>
                <c:pt idx="27">
                  <c:v>4.4556928285209896</c:v>
                </c:pt>
                <c:pt idx="28">
                  <c:v>4.7092217504638336</c:v>
                </c:pt>
                <c:pt idx="29">
                  <c:v>4.9771764680652257</c:v>
                </c:pt>
                <c:pt idx="30">
                  <c:v>5.260377809098137</c:v>
                </c:pt>
                <c:pt idx="31">
                  <c:v>5.5596933064358209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9-5B45-B871-E3CEBF7FC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06767"/>
        <c:axId val="1681000287"/>
      </c:scatterChart>
      <c:valAx>
        <c:axId val="1681006767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00287"/>
        <c:crosses val="autoZero"/>
        <c:crossBetween val="midCat"/>
      </c:valAx>
      <c:valAx>
        <c:axId val="16810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0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0</xdr:row>
      <xdr:rowOff>0</xdr:rowOff>
    </xdr:from>
    <xdr:to>
      <xdr:col>11</xdr:col>
      <xdr:colOff>736600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DA37D-A047-CD41-B024-BCDBC7FA6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387350</xdr:colOff>
      <xdr:row>12</xdr:row>
      <xdr:rowOff>139700</xdr:rowOff>
    </xdr:from>
    <xdr:ext cx="184731" cy="264560"/>
    <xdr:sp macro="" textlink="">
      <xdr:nvSpPr>
        <xdr:cNvPr id="4" name="TextBox 3"/>
        <xdr:cNvSpPr txBox="1"/>
      </xdr:nvSpPr>
      <xdr:spPr>
        <a:xfrm>
          <a:off x="387350" y="2740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0</xdr:row>
      <xdr:rowOff>0</xdr:rowOff>
    </xdr:from>
    <xdr:to>
      <xdr:col>11</xdr:col>
      <xdr:colOff>736600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DA37D-A047-CD41-B024-BCDBC7FA6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261937</xdr:colOff>
      <xdr:row>12</xdr:row>
      <xdr:rowOff>17462</xdr:rowOff>
    </xdr:from>
    <xdr:ext cx="2949077" cy="15174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261937" y="2617787"/>
              <a:ext cx="2949077" cy="1517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𝐷𝑖𝑣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𝑔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1−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1+</m:t>
                                    </m:r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𝑔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1+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b="0"/>
            </a:p>
            <a:p>
              <a:endParaRPr lang="en-US" sz="11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𝐷𝑖𝑣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100" b="0"/>
            </a:p>
            <a:p>
              <a:endParaRPr lang="en-US" sz="11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𝐷𝑖𝑣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𝐷𝑖𝑣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     </m:t>
                    </m:r>
                  </m:oMath>
                </m:oMathPara>
              </a14:m>
              <a:endParaRPr lang="en-US" sz="1100" b="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𝐷𝑖𝑣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    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𝐷𝑖𝑣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𝑔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261937" y="2617787"/>
              <a:ext cx="2949077" cy="15174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𝑃_0=(〖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𝐷𝑖𝑣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0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1+𝑔_0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))/(</a:t>
              </a:r>
              <a:r>
                <a:rPr lang="en-US" sz="1100" b="0" i="0">
                  <a:latin typeface="Cambria Math" panose="02040503050406030204" pitchFamily="18" charset="0"/>
                </a:rPr>
                <a:t>𝑟−𝑔_0 ) (1−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((1+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𝑔_0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𝑟))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𝑛 )+(𝑇𝑉_𝑛)/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(1+𝑟)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𝑛 </a:t>
              </a:r>
              <a:endParaRPr lang="en-US" sz="1100" b="0"/>
            </a:p>
            <a:p>
              <a:endParaRPr lang="en-US" sz="1100"/>
            </a:p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𝑇𝑉〗_𝑛=〖𝐷𝑖𝑣〗_(𝑛+1)/(𝑟−𝑔)</a:t>
              </a:r>
              <a:endParaRPr lang="en-US" sz="1100" b="0"/>
            </a:p>
            <a:p>
              <a:endParaRPr lang="en-US" sz="1100"/>
            </a:p>
            <a:p>
              <a:r>
                <a:rPr lang="en-US" sz="1100" b="0" i="0">
                  <a:latin typeface="Cambria Math" panose="02040503050406030204" pitchFamily="18" charset="0"/>
                </a:rPr>
                <a:t>〖𝐷𝑖𝑣〗_(𝑛+1)=〖𝐷𝑖𝑣〗_𝑛 (1+𝑔)      </a:t>
              </a:r>
              <a:endParaRPr lang="en-US" sz="1100" b="0"/>
            </a:p>
            <a:p>
              <a:r>
                <a:rPr lang="en-US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𝐷𝑖𝑣〗_𝑛     =〖𝐷𝑖𝑣〗_0 (1+𝑔_0 )^𝑛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387350</xdr:colOff>
      <xdr:row>12</xdr:row>
      <xdr:rowOff>139700</xdr:rowOff>
    </xdr:from>
    <xdr:ext cx="184731" cy="264560"/>
    <xdr:sp macro="" textlink="">
      <xdr:nvSpPr>
        <xdr:cNvPr id="4" name="TextBox 3"/>
        <xdr:cNvSpPr txBox="1"/>
      </xdr:nvSpPr>
      <xdr:spPr>
        <a:xfrm>
          <a:off x="387350" y="2740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2"/>
  <sheetViews>
    <sheetView tabSelected="1" zoomScale="110" zoomScaleNormal="110" workbookViewId="0">
      <selection activeCell="C4" sqref="C4"/>
    </sheetView>
  </sheetViews>
  <sheetFormatPr defaultColWidth="11" defaultRowHeight="15.6" x14ac:dyDescent="0.3"/>
  <cols>
    <col min="1" max="1" width="25.19921875" customWidth="1"/>
    <col min="3" max="3" width="11.59765625" customWidth="1"/>
  </cols>
  <sheetData>
    <row r="1" spans="1:5" x14ac:dyDescent="0.3">
      <c r="A1" s="19" t="s">
        <v>6</v>
      </c>
      <c r="B1" s="19"/>
    </row>
    <row r="2" spans="1:5" x14ac:dyDescent="0.3">
      <c r="A2" t="s">
        <v>0</v>
      </c>
      <c r="B2" s="15">
        <v>0.06</v>
      </c>
    </row>
    <row r="3" spans="1:5" x14ac:dyDescent="0.3">
      <c r="A3" t="s">
        <v>1</v>
      </c>
      <c r="B3" s="15">
        <v>0.01</v>
      </c>
    </row>
    <row r="4" spans="1:5" x14ac:dyDescent="0.3">
      <c r="A4" t="s">
        <v>3</v>
      </c>
      <c r="B4" s="15">
        <v>5.6899999999999999E-2</v>
      </c>
    </row>
    <row r="5" spans="1:5" x14ac:dyDescent="0.3">
      <c r="A5" s="3"/>
      <c r="B5" s="12"/>
      <c r="C5" s="3"/>
      <c r="D5" s="3"/>
      <c r="E5" s="3"/>
    </row>
    <row r="8" spans="1:5" x14ac:dyDescent="0.3">
      <c r="A8" t="s">
        <v>19</v>
      </c>
      <c r="B8" s="5">
        <f>(1+B4)/(B3+B2-B4)</f>
        <v>80.679389312977136</v>
      </c>
      <c r="C8" t="s">
        <v>9</v>
      </c>
      <c r="D8" s="18">
        <v>80.67</v>
      </c>
    </row>
    <row r="9" spans="1:5" x14ac:dyDescent="0.3">
      <c r="A9" s="3"/>
      <c r="B9" s="9"/>
      <c r="C9" t="s">
        <v>10</v>
      </c>
      <c r="D9" s="18">
        <v>53.05</v>
      </c>
    </row>
    <row r="10" spans="1:5" x14ac:dyDescent="0.3">
      <c r="A10" s="10"/>
      <c r="B10" s="11"/>
      <c r="C10" t="s">
        <v>11</v>
      </c>
      <c r="D10" s="7">
        <f>(D9-D8)/D8</f>
        <v>-0.3423825461757779</v>
      </c>
    </row>
    <row r="11" spans="1:5" x14ac:dyDescent="0.3">
      <c r="A11" s="2"/>
      <c r="B11" s="5"/>
    </row>
    <row r="12" spans="1:5" x14ac:dyDescent="0.3">
      <c r="B12" s="5"/>
    </row>
    <row r="13" spans="1:5" x14ac:dyDescent="0.3">
      <c r="B13" s="5"/>
    </row>
    <row r="14" spans="1:5" x14ac:dyDescent="0.3">
      <c r="B14" s="5"/>
    </row>
    <row r="15" spans="1:5" x14ac:dyDescent="0.3">
      <c r="B15" s="5"/>
    </row>
    <row r="16" spans="1:5" x14ac:dyDescent="0.3">
      <c r="B16" s="5"/>
    </row>
    <row r="17" spans="1:37" x14ac:dyDescent="0.3">
      <c r="B17" s="5"/>
    </row>
    <row r="18" spans="1:37" x14ac:dyDescent="0.3">
      <c r="B18" s="5"/>
    </row>
    <row r="19" spans="1:37" x14ac:dyDescent="0.3">
      <c r="B19" s="5"/>
    </row>
    <row r="20" spans="1:37" x14ac:dyDescent="0.3">
      <c r="B20" s="5"/>
    </row>
    <row r="22" spans="1:37" x14ac:dyDescent="0.3">
      <c r="B22" s="5"/>
    </row>
    <row r="23" spans="1:37" x14ac:dyDescent="0.3">
      <c r="B23" s="5"/>
    </row>
    <row r="25" spans="1:37" x14ac:dyDescent="0.3">
      <c r="B25" s="5"/>
    </row>
    <row r="26" spans="1:37" x14ac:dyDescent="0.3">
      <c r="B26" s="8"/>
    </row>
    <row r="28" spans="1:37" x14ac:dyDescent="0.3">
      <c r="B28" s="5"/>
      <c r="C28" s="3"/>
      <c r="D28" s="3"/>
      <c r="E28" s="3"/>
      <c r="F28" s="3"/>
    </row>
    <row r="29" spans="1:37" x14ac:dyDescent="0.3">
      <c r="B29" s="1"/>
    </row>
    <row r="31" spans="1:37" x14ac:dyDescent="0.3">
      <c r="A31" t="s">
        <v>2</v>
      </c>
      <c r="B31" s="4">
        <v>0</v>
      </c>
      <c r="C31" s="4">
        <v>0.25</v>
      </c>
      <c r="D31" s="4">
        <v>0.5</v>
      </c>
      <c r="E31" s="4">
        <v>0.75</v>
      </c>
      <c r="F31" s="4">
        <v>1</v>
      </c>
      <c r="G31" s="4">
        <v>1.25</v>
      </c>
      <c r="H31" s="4">
        <v>1.5</v>
      </c>
      <c r="I31" s="4">
        <v>1.75</v>
      </c>
      <c r="J31" s="4">
        <v>2</v>
      </c>
      <c r="K31" s="4">
        <v>2.25</v>
      </c>
      <c r="L31" s="4">
        <v>2.5</v>
      </c>
      <c r="M31" s="4">
        <v>2.75</v>
      </c>
      <c r="N31" s="4">
        <v>3</v>
      </c>
      <c r="O31" s="4">
        <v>3.25</v>
      </c>
      <c r="P31" s="4">
        <v>3.5</v>
      </c>
      <c r="Q31" s="4">
        <v>3.75</v>
      </c>
      <c r="R31" s="4">
        <v>4</v>
      </c>
      <c r="S31" s="4">
        <v>4.25</v>
      </c>
      <c r="T31" s="4">
        <v>4.5</v>
      </c>
      <c r="U31" s="4">
        <v>4.75</v>
      </c>
      <c r="V31" s="4">
        <v>5</v>
      </c>
      <c r="W31" s="4">
        <v>5.25</v>
      </c>
      <c r="X31" s="4">
        <v>5.5</v>
      </c>
      <c r="Y31" s="4">
        <v>5.75</v>
      </c>
      <c r="Z31" s="4">
        <v>6</v>
      </c>
      <c r="AA31" s="4">
        <v>6.25</v>
      </c>
      <c r="AB31" s="4">
        <v>6.5</v>
      </c>
      <c r="AC31" s="4">
        <v>6.75</v>
      </c>
      <c r="AD31" s="4">
        <v>7</v>
      </c>
      <c r="AE31" s="4">
        <v>7.25</v>
      </c>
      <c r="AF31" s="4">
        <v>7.5</v>
      </c>
      <c r="AG31" s="4">
        <v>7.75</v>
      </c>
      <c r="AH31" s="4">
        <v>8</v>
      </c>
      <c r="AI31" s="4"/>
      <c r="AJ31" s="4"/>
      <c r="AK31" s="4"/>
    </row>
    <row r="32" spans="1:37" x14ac:dyDescent="0.3">
      <c r="A32" t="s">
        <v>5</v>
      </c>
      <c r="B32" s="4">
        <v>0</v>
      </c>
      <c r="C32" s="6">
        <v>1</v>
      </c>
      <c r="D32" s="6">
        <f>C32*(1+$B$4)</f>
        <v>1.0569</v>
      </c>
      <c r="E32" s="6">
        <f t="shared" ref="E32:AH32" si="0">D32*(1+$B$4)</f>
        <v>1.1170376099999999</v>
      </c>
      <c r="F32" s="6">
        <f t="shared" si="0"/>
        <v>1.1805970500089999</v>
      </c>
      <c r="G32" s="6">
        <f t="shared" si="0"/>
        <v>1.247773022154512</v>
      </c>
      <c r="H32" s="6">
        <f t="shared" si="0"/>
        <v>1.3187713071151037</v>
      </c>
      <c r="I32" s="6">
        <f t="shared" si="0"/>
        <v>1.393809394489953</v>
      </c>
      <c r="J32" s="6">
        <f t="shared" si="0"/>
        <v>1.4731171490364312</v>
      </c>
      <c r="K32" s="6">
        <f t="shared" si="0"/>
        <v>1.556937514816604</v>
      </c>
      <c r="L32" s="6">
        <f t="shared" si="0"/>
        <v>1.6455272594096688</v>
      </c>
      <c r="M32" s="6">
        <f t="shared" si="0"/>
        <v>1.739157760470079</v>
      </c>
      <c r="N32" s="6">
        <f t="shared" si="0"/>
        <v>1.8381158370408264</v>
      </c>
      <c r="O32" s="6">
        <f t="shared" si="0"/>
        <v>1.9427046281684492</v>
      </c>
      <c r="P32" s="6">
        <f t="shared" si="0"/>
        <v>2.053244521511234</v>
      </c>
      <c r="Q32" s="6">
        <f t="shared" si="0"/>
        <v>2.170074134785223</v>
      </c>
      <c r="R32" s="6">
        <f t="shared" si="0"/>
        <v>2.293551353054502</v>
      </c>
      <c r="S32" s="6">
        <f t="shared" si="0"/>
        <v>2.4240544250433032</v>
      </c>
      <c r="T32" s="6">
        <f t="shared" si="0"/>
        <v>2.5619831218282672</v>
      </c>
      <c r="U32" s="6">
        <f t="shared" si="0"/>
        <v>2.7077599614602956</v>
      </c>
      <c r="V32" s="6">
        <f t="shared" si="0"/>
        <v>2.8618315032673864</v>
      </c>
      <c r="W32" s="6">
        <f t="shared" si="0"/>
        <v>3.0246697158033005</v>
      </c>
      <c r="X32" s="6">
        <f t="shared" si="0"/>
        <v>3.196773422632508</v>
      </c>
      <c r="Y32" s="6">
        <f t="shared" si="0"/>
        <v>3.3786698303802973</v>
      </c>
      <c r="Z32" s="6">
        <f t="shared" si="0"/>
        <v>3.5709161437289363</v>
      </c>
      <c r="AA32" s="6">
        <f t="shared" si="0"/>
        <v>3.7741012723071128</v>
      </c>
      <c r="AB32" s="6">
        <f t="shared" si="0"/>
        <v>3.9888476347013873</v>
      </c>
      <c r="AC32" s="6">
        <f t="shared" si="0"/>
        <v>4.2158130651158956</v>
      </c>
      <c r="AD32" s="6">
        <f t="shared" si="0"/>
        <v>4.4556928285209896</v>
      </c>
      <c r="AE32" s="6">
        <f t="shared" si="0"/>
        <v>4.7092217504638336</v>
      </c>
      <c r="AF32" s="6">
        <f t="shared" si="0"/>
        <v>4.9771764680652257</v>
      </c>
      <c r="AG32" s="6">
        <f t="shared" si="0"/>
        <v>5.260377809098137</v>
      </c>
      <c r="AH32" s="6">
        <f t="shared" si="0"/>
        <v>5.5596933064358209</v>
      </c>
      <c r="AI32" s="4"/>
      <c r="AJ32" s="4"/>
      <c r="AK32" s="4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2"/>
  <sheetViews>
    <sheetView zoomScale="110" zoomScaleNormal="110" workbookViewId="0">
      <selection activeCell="D8" sqref="D8:D10"/>
    </sheetView>
  </sheetViews>
  <sheetFormatPr defaultColWidth="11" defaultRowHeight="15.6" x14ac:dyDescent="0.3"/>
  <cols>
    <col min="1" max="1" width="25.19921875" customWidth="1"/>
    <col min="3" max="3" width="12" customWidth="1"/>
  </cols>
  <sheetData>
    <row r="1" spans="1:5" x14ac:dyDescent="0.3">
      <c r="A1" s="19" t="s">
        <v>6</v>
      </c>
      <c r="B1" s="19"/>
    </row>
    <row r="2" spans="1:5" x14ac:dyDescent="0.3">
      <c r="A2" t="s">
        <v>0</v>
      </c>
      <c r="B2" s="15">
        <v>0.06</v>
      </c>
    </row>
    <row r="3" spans="1:5" x14ac:dyDescent="0.3">
      <c r="A3" t="s">
        <v>1</v>
      </c>
      <c r="B3" s="15">
        <v>0.01</v>
      </c>
    </row>
    <row r="4" spans="1:5" x14ac:dyDescent="0.3">
      <c r="A4" t="s">
        <v>3</v>
      </c>
      <c r="B4" s="15">
        <v>5.6899999999999999E-2</v>
      </c>
    </row>
    <row r="5" spans="1:5" x14ac:dyDescent="0.3">
      <c r="A5" t="s">
        <v>17</v>
      </c>
      <c r="B5" s="13">
        <v>5.6899999999999999E-2</v>
      </c>
      <c r="C5" t="s">
        <v>12</v>
      </c>
      <c r="D5" s="3"/>
      <c r="E5" s="3"/>
    </row>
    <row r="6" spans="1:5" x14ac:dyDescent="0.3">
      <c r="A6" t="s">
        <v>18</v>
      </c>
      <c r="B6" s="14">
        <v>1</v>
      </c>
      <c r="C6" s="3"/>
    </row>
    <row r="8" spans="1:5" x14ac:dyDescent="0.3">
      <c r="A8" t="s">
        <v>8</v>
      </c>
      <c r="B8" s="16">
        <f>(1+B4)/(B3+B2-B4)</f>
        <v>80.679389312977136</v>
      </c>
      <c r="C8" t="s">
        <v>9</v>
      </c>
      <c r="D8" s="18">
        <v>80.67</v>
      </c>
    </row>
    <row r="9" spans="1:5" x14ac:dyDescent="0.3">
      <c r="A9" t="s">
        <v>7</v>
      </c>
      <c r="B9" s="17">
        <f>B22+B23 / (1+B3+B2)^B6</f>
        <v>80.67938931297715</v>
      </c>
      <c r="C9" t="s">
        <v>10</v>
      </c>
      <c r="D9" s="18">
        <v>53.05</v>
      </c>
    </row>
    <row r="10" spans="1:5" ht="31.2" x14ac:dyDescent="0.3">
      <c r="A10" s="2" t="s">
        <v>4</v>
      </c>
      <c r="B10" s="7">
        <f>(B9-B8)/B8</f>
        <v>1.7613983987997555E-16</v>
      </c>
      <c r="C10" t="s">
        <v>11</v>
      </c>
      <c r="D10" s="7">
        <f>(D9-D8)/D8</f>
        <v>-0.3423825461757779</v>
      </c>
    </row>
    <row r="11" spans="1:5" x14ac:dyDescent="0.3">
      <c r="A11" s="2"/>
      <c r="B11" s="5"/>
    </row>
    <row r="12" spans="1:5" x14ac:dyDescent="0.3">
      <c r="B12" s="5"/>
    </row>
    <row r="13" spans="1:5" x14ac:dyDescent="0.3">
      <c r="B13" s="5"/>
    </row>
    <row r="14" spans="1:5" x14ac:dyDescent="0.3">
      <c r="B14" s="5"/>
    </row>
    <row r="15" spans="1:5" x14ac:dyDescent="0.3">
      <c r="B15" s="5"/>
    </row>
    <row r="16" spans="1:5" x14ac:dyDescent="0.3">
      <c r="B16" s="5"/>
    </row>
    <row r="17" spans="1:37" x14ac:dyDescent="0.3">
      <c r="B17" s="5"/>
    </row>
    <row r="18" spans="1:37" x14ac:dyDescent="0.3">
      <c r="B18" s="5"/>
    </row>
    <row r="19" spans="1:37" x14ac:dyDescent="0.3">
      <c r="B19" s="5"/>
    </row>
    <row r="20" spans="1:37" x14ac:dyDescent="0.3">
      <c r="B20" s="5"/>
    </row>
    <row r="22" spans="1:37" x14ac:dyDescent="0.3">
      <c r="A22" t="s">
        <v>16</v>
      </c>
      <c r="B22" s="5">
        <f>(1+B5)/(B3+B2-B5) * (1 - ( (1+B5) / (1+B3+B2))^B6)</f>
        <v>0.98775700934580668</v>
      </c>
    </row>
    <row r="23" spans="1:37" x14ac:dyDescent="0.3">
      <c r="A23" t="s">
        <v>13</v>
      </c>
      <c r="B23" s="5">
        <f>B25/(B3+B2-B4)</f>
        <v>85.270046564885533</v>
      </c>
    </row>
    <row r="25" spans="1:37" x14ac:dyDescent="0.3">
      <c r="A25" t="s">
        <v>14</v>
      </c>
      <c r="B25" s="5">
        <f>B26*(1+B4)</f>
        <v>1.1170376099999999</v>
      </c>
    </row>
    <row r="26" spans="1:37" x14ac:dyDescent="0.3">
      <c r="A26" t="s">
        <v>15</v>
      </c>
      <c r="B26" s="8">
        <f>(1+B5)^B6</f>
        <v>1.0569</v>
      </c>
    </row>
    <row r="28" spans="1:37" x14ac:dyDescent="0.3">
      <c r="B28" s="5"/>
      <c r="C28" s="3"/>
      <c r="D28" s="3"/>
      <c r="E28" s="3"/>
      <c r="F28" s="3"/>
    </row>
    <row r="29" spans="1:37" x14ac:dyDescent="0.3">
      <c r="B29" s="1"/>
    </row>
    <row r="31" spans="1:37" x14ac:dyDescent="0.3">
      <c r="A31" t="s">
        <v>2</v>
      </c>
      <c r="B31" s="4">
        <v>0</v>
      </c>
      <c r="C31" s="4">
        <v>0.25</v>
      </c>
      <c r="D31" s="4">
        <v>0.5</v>
      </c>
      <c r="E31" s="4">
        <v>0.75</v>
      </c>
      <c r="F31" s="4">
        <v>1</v>
      </c>
      <c r="G31" s="4">
        <v>1.25</v>
      </c>
      <c r="H31" s="4">
        <v>1.5</v>
      </c>
      <c r="I31" s="4">
        <v>1.75</v>
      </c>
      <c r="J31" s="4">
        <v>2</v>
      </c>
      <c r="K31" s="4">
        <v>2.25</v>
      </c>
      <c r="L31" s="4">
        <v>2.5</v>
      </c>
      <c r="M31" s="4">
        <v>2.75</v>
      </c>
      <c r="N31" s="4">
        <v>3</v>
      </c>
      <c r="O31" s="4">
        <v>3.25</v>
      </c>
      <c r="P31" s="4">
        <v>3.5</v>
      </c>
      <c r="Q31" s="4">
        <v>3.75</v>
      </c>
      <c r="R31" s="4">
        <v>4</v>
      </c>
      <c r="S31" s="4">
        <v>4.25</v>
      </c>
      <c r="T31" s="4">
        <v>4.5</v>
      </c>
      <c r="U31" s="4">
        <v>4.75</v>
      </c>
      <c r="V31" s="4">
        <v>5</v>
      </c>
      <c r="W31" s="4">
        <v>5.25</v>
      </c>
      <c r="X31" s="4">
        <v>5.5</v>
      </c>
      <c r="Y31" s="4">
        <v>5.75</v>
      </c>
      <c r="Z31" s="4">
        <v>6</v>
      </c>
      <c r="AA31" s="4">
        <v>6.25</v>
      </c>
      <c r="AB31" s="4">
        <v>6.5</v>
      </c>
      <c r="AC31" s="4">
        <v>6.75</v>
      </c>
      <c r="AD31" s="4">
        <v>7</v>
      </c>
      <c r="AE31" s="4">
        <v>7.25</v>
      </c>
      <c r="AF31" s="4">
        <v>7.5</v>
      </c>
      <c r="AG31" s="4">
        <v>7.75</v>
      </c>
      <c r="AH31" s="4">
        <v>8</v>
      </c>
      <c r="AI31" s="4"/>
      <c r="AJ31" s="4"/>
      <c r="AK31" s="4"/>
    </row>
    <row r="32" spans="1:37" x14ac:dyDescent="0.3">
      <c r="A32" t="s">
        <v>5</v>
      </c>
      <c r="B32" s="4">
        <v>0</v>
      </c>
      <c r="C32" s="6">
        <v>1</v>
      </c>
      <c r="D32" s="6">
        <f t="shared" ref="D32:AH32" si="0">IF(D31&lt;=$B$6,C32*(1+$B$5),C32*(1+$B$4))</f>
        <v>1.0569</v>
      </c>
      <c r="E32" s="6">
        <f t="shared" si="0"/>
        <v>1.1170376099999999</v>
      </c>
      <c r="F32" s="6">
        <f t="shared" si="0"/>
        <v>1.1805970500089999</v>
      </c>
      <c r="G32" s="6">
        <f t="shared" si="0"/>
        <v>1.247773022154512</v>
      </c>
      <c r="H32" s="6">
        <f t="shared" si="0"/>
        <v>1.3187713071151037</v>
      </c>
      <c r="I32" s="6">
        <f t="shared" si="0"/>
        <v>1.393809394489953</v>
      </c>
      <c r="J32" s="6">
        <f t="shared" si="0"/>
        <v>1.4731171490364312</v>
      </c>
      <c r="K32" s="6">
        <f t="shared" si="0"/>
        <v>1.556937514816604</v>
      </c>
      <c r="L32" s="6">
        <f t="shared" si="0"/>
        <v>1.6455272594096688</v>
      </c>
      <c r="M32" s="6">
        <f t="shared" si="0"/>
        <v>1.739157760470079</v>
      </c>
      <c r="N32" s="6">
        <f t="shared" si="0"/>
        <v>1.8381158370408264</v>
      </c>
      <c r="O32" s="6">
        <f t="shared" si="0"/>
        <v>1.9427046281684492</v>
      </c>
      <c r="P32" s="6">
        <f t="shared" si="0"/>
        <v>2.053244521511234</v>
      </c>
      <c r="Q32" s="6">
        <f t="shared" si="0"/>
        <v>2.170074134785223</v>
      </c>
      <c r="R32" s="6">
        <f t="shared" si="0"/>
        <v>2.293551353054502</v>
      </c>
      <c r="S32" s="6">
        <f t="shared" si="0"/>
        <v>2.4240544250433032</v>
      </c>
      <c r="T32" s="6">
        <f t="shared" si="0"/>
        <v>2.5619831218282672</v>
      </c>
      <c r="U32" s="6">
        <f t="shared" si="0"/>
        <v>2.7077599614602956</v>
      </c>
      <c r="V32" s="6">
        <f t="shared" si="0"/>
        <v>2.8618315032673864</v>
      </c>
      <c r="W32" s="6">
        <f t="shared" si="0"/>
        <v>3.0246697158033005</v>
      </c>
      <c r="X32" s="6">
        <f t="shared" si="0"/>
        <v>3.196773422632508</v>
      </c>
      <c r="Y32" s="6">
        <f t="shared" si="0"/>
        <v>3.3786698303802973</v>
      </c>
      <c r="Z32" s="6">
        <f t="shared" si="0"/>
        <v>3.5709161437289363</v>
      </c>
      <c r="AA32" s="6">
        <f t="shared" si="0"/>
        <v>3.7741012723071128</v>
      </c>
      <c r="AB32" s="6">
        <f t="shared" si="0"/>
        <v>3.9888476347013873</v>
      </c>
      <c r="AC32" s="6">
        <f t="shared" si="0"/>
        <v>4.2158130651158956</v>
      </c>
      <c r="AD32" s="6">
        <f t="shared" si="0"/>
        <v>4.4556928285209896</v>
      </c>
      <c r="AE32" s="6">
        <f t="shared" si="0"/>
        <v>4.7092217504638336</v>
      </c>
      <c r="AF32" s="6">
        <f t="shared" si="0"/>
        <v>4.9771764680652257</v>
      </c>
      <c r="AG32" s="6">
        <f t="shared" si="0"/>
        <v>5.260377809098137</v>
      </c>
      <c r="AH32" s="6">
        <f t="shared" si="0"/>
        <v>5.5596933064358209</v>
      </c>
      <c r="AI32" s="4"/>
      <c r="AJ32" s="4"/>
      <c r="AK32" s="4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GordonGrowthModel</vt:lpstr>
      <vt:lpstr>Modified_GGM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Vorsatz</dc:creator>
  <cp:lastModifiedBy>Pietro Veronesi</cp:lastModifiedBy>
  <dcterms:created xsi:type="dcterms:W3CDTF">2020-03-30T00:49:41Z</dcterms:created>
  <dcterms:modified xsi:type="dcterms:W3CDTF">2022-03-23T09:51:01Z</dcterms:modified>
</cp:coreProperties>
</file>