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derrickteo/Downloads/ChicagoBooth info/03 2025 Corporate Finance/"/>
    </mc:Choice>
  </mc:AlternateContent>
  <xr:revisionPtr revIDLastSave="0" documentId="13_ncr:1_{7BB6D8B7-3854-4E43-8854-BA60F1F3B2B2}" xr6:coauthVersionLast="47" xr6:coauthVersionMax="47" xr10:uidLastSave="{00000000-0000-0000-0000-000000000000}"/>
  <bookViews>
    <workbookView xWindow="0" yWindow="780" windowWidth="34200" windowHeight="19660" xr2:uid="{00000000-000D-0000-FFFF-FFFF00000000}"/>
  </bookViews>
  <sheets>
    <sheet name="Main Table 1" sheetId="1" r:id="rId1"/>
    <sheet name="V,C" sheetId="2" r:id="rId2"/>
    <sheet name="V,B" sheetId="3" r:id="rId3"/>
    <sheet name="V.RF" sheetId="4" r:id="rId4"/>
  </sheets>
  <definedNames>
    <definedName name="solver_eng" localSheetId="0">1</definedName>
    <definedName name="solver_lin" localSheetId="0">2</definedName>
    <definedName name="solver_neg" localSheetId="0">1</definedName>
    <definedName name="solver_num" localSheetId="0">0</definedName>
    <definedName name="solver_opt" localSheetId="0">'Main Table 1'!$F$9</definedName>
    <definedName name="solver_typ" localSheetId="0">1</definedName>
    <definedName name="solver_val" localSheetId="0">0</definedName>
    <definedName name="solver_ver" localSheetId="0">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pJeBjD35WKX6bM0qM6Bfm4ntWBn8JfLFfKCq8pVBLoU="/>
    </ext>
  </extLst>
</workbook>
</file>

<file path=xl/calcChain.xml><?xml version="1.0" encoding="utf-8"?>
<calcChain xmlns="http://schemas.openxmlformats.org/spreadsheetml/2006/main">
  <c r="B37" i="1" l="1"/>
  <c r="D37" i="1"/>
  <c r="C37" i="1"/>
  <c r="D49" i="1"/>
  <c r="I56" i="1" s="1"/>
  <c r="C49" i="1"/>
  <c r="H56" i="1" s="1"/>
  <c r="D48" i="1"/>
  <c r="C48" i="1"/>
  <c r="D34" i="1"/>
  <c r="C34" i="1"/>
  <c r="B34" i="1"/>
  <c r="D43" i="1" s="1"/>
  <c r="E43" i="1" s="1"/>
  <c r="E31" i="1"/>
  <c r="D31" i="1"/>
  <c r="C31" i="1"/>
  <c r="D30" i="1"/>
  <c r="C30" i="1"/>
  <c r="B30" i="1"/>
  <c r="F43" i="1" s="1"/>
  <c r="H16" i="1"/>
  <c r="G16" i="1"/>
  <c r="I12" i="1"/>
  <c r="G12" i="1"/>
  <c r="H15" i="1" s="1"/>
  <c r="H11" i="1"/>
  <c r="G11" i="1"/>
  <c r="G15" i="1" s="1"/>
  <c r="G10" i="1"/>
  <c r="C54" i="1" l="1"/>
  <c r="D54" i="1" s="1"/>
  <c r="C55" i="1"/>
  <c r="D55" i="1" s="1"/>
  <c r="G55" i="1"/>
  <c r="D44" i="1"/>
  <c r="E44" i="1" s="1"/>
  <c r="F44" i="1"/>
  <c r="D45" i="1"/>
  <c r="E45" i="1" s="1"/>
  <c r="F45" i="1"/>
</calcChain>
</file>

<file path=xl/sharedStrings.xml><?xml version="1.0" encoding="utf-8"?>
<sst xmlns="http://schemas.openxmlformats.org/spreadsheetml/2006/main" count="157" uniqueCount="80">
  <si>
    <r>
      <rPr>
        <b/>
        <sz val="10"/>
        <color theme="1"/>
        <rFont val="Arial"/>
        <family val="2"/>
      </rPr>
      <t>Table 1</t>
    </r>
    <r>
      <rPr>
        <sz val="10"/>
        <color theme="1"/>
        <rFont val="Arial"/>
        <family val="2"/>
      </rPr>
      <t xml:space="preserve"> Investment Return Data</t>
    </r>
  </si>
  <si>
    <t>Vanguard Index 500 Trust</t>
  </si>
  <si>
    <t>California REIT</t>
  </si>
  <si>
    <t>Brown Group</t>
  </si>
  <si>
    <t>Risk Free</t>
  </si>
  <si>
    <t>February</t>
  </si>
  <si>
    <t>March</t>
  </si>
  <si>
    <t>April</t>
  </si>
  <si>
    <t>May</t>
  </si>
  <si>
    <t>June</t>
  </si>
  <si>
    <t>Cov table</t>
  </si>
  <si>
    <t>Vanguard</t>
  </si>
  <si>
    <t>Cali</t>
  </si>
  <si>
    <t>Brown</t>
  </si>
  <si>
    <t>July</t>
  </si>
  <si>
    <t>August</t>
  </si>
  <si>
    <t>September</t>
  </si>
  <si>
    <t>October</t>
  </si>
  <si>
    <t>November</t>
  </si>
  <si>
    <t>(V,C)</t>
  </si>
  <si>
    <t>(V,B)</t>
  </si>
  <si>
    <t>December</t>
  </si>
  <si>
    <t>Covariance</t>
  </si>
  <si>
    <t>Correlation</t>
  </si>
  <si>
    <t>Weights</t>
  </si>
  <si>
    <t>Question 1</t>
  </si>
  <si>
    <t>Question 2</t>
  </si>
  <si>
    <t>Var(p)</t>
  </si>
  <si>
    <t>St Dev (p)</t>
  </si>
  <si>
    <t>Expected Returns</t>
  </si>
  <si>
    <t>Comments</t>
  </si>
  <si>
    <t>99% vanguard, 1% RFA(0.3%)</t>
  </si>
  <si>
    <t>99% vanguard, 1% California</t>
  </si>
  <si>
    <t>99% vanguard, 1% Brown</t>
  </si>
  <si>
    <t>Both assets are quite correlated. Risks is not reduced through this diversification.</t>
  </si>
  <si>
    <t>Question 3</t>
  </si>
  <si>
    <t>California</t>
  </si>
  <si>
    <t>Alpha (intercept)</t>
  </si>
  <si>
    <r>
      <rPr>
        <b/>
        <sz val="10"/>
        <color theme="1"/>
        <rFont val="Arial"/>
        <family val="2"/>
      </rPr>
      <t>Alpha</t>
    </r>
    <r>
      <rPr>
        <sz val="10"/>
        <color theme="1"/>
        <rFont val="Arial"/>
        <family val="2"/>
      </rPr>
      <t>: Excess return not explained by Vanguard</t>
    </r>
  </si>
  <si>
    <t>Beta (slope)</t>
  </si>
  <si>
    <r>
      <rPr>
        <b/>
        <sz val="10"/>
        <color theme="1"/>
        <rFont val="Arial"/>
        <family val="2"/>
      </rPr>
      <t>Beta</t>
    </r>
    <r>
      <rPr>
        <sz val="10"/>
        <color theme="1"/>
        <rFont val="Arial"/>
        <family val="2"/>
      </rPr>
      <t xml:space="preserve"> (slope): Sensitivity of the asset to market movements (Vanguard as proxy)</t>
    </r>
  </si>
  <si>
    <t>Question 4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</si>
  <si>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</si>
  <si>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</si>
  <si>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</si>
  <si>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</si>
  <si>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</si>
  <si>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</si>
  <si>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</si>
  <si>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</si>
  <si>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</si>
  <si>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</si>
  <si>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</si>
  <si>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</si>
  <si>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</si>
  <si>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</si>
  <si>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</si>
  <si>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</si>
  <si>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</si>
  <si>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</si>
  <si>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</si>
  <si>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</si>
  <si>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</si>
  <si>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</si>
  <si>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</si>
  <si>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</si>
  <si>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</si>
  <si>
    <t>Expected returns using CAPM model</t>
  </si>
  <si>
    <t>Rf rate</t>
  </si>
  <si>
    <t>Rm rate (V)</t>
  </si>
  <si>
    <t>Beta</t>
  </si>
  <si>
    <t>Monthly</t>
  </si>
  <si>
    <t>Annual</t>
  </si>
  <si>
    <t>Mean Monthly Returns</t>
  </si>
  <si>
    <t>Due to nearly zero correlation between Vanguard and California, this diversification investment reduces standard deviation, hence reducing portfolio risk.</t>
  </si>
  <si>
    <t>January</t>
  </si>
  <si>
    <t>MONTH 1989-1990</t>
  </si>
  <si>
    <t>Standard Deviation</t>
  </si>
  <si>
    <t>California REIT appears to be the riskiest. Its stdev is highest, and its mean monthly return is the lowest.</t>
  </si>
  <si>
    <t>Upper return 1SD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</si>
</sst>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i/>
      <sz val="10"/>
      <color theme="1"/>
      <name val="Arial"/>
      <family val="2"/>
    </font>
    <font>
      <sz val="10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vertical="top" wrapText="1"/>
    </xf>
    <xf numFmtId="10" fontId="2" fillId="0" borderId="1" xfId="0" applyNumberFormat="1" applyFont="1" applyBorder="1" applyAlignment="1">
      <alignment horizontal="center" vertical="top" wrapText="1"/>
    </xf>
    <xf numFmtId="10" fontId="2" fillId="0" borderId="1" xfId="0" applyNumberFormat="1" applyFont="1" applyBorder="1"/>
    <xf numFmtId="0" fontId="2" fillId="0" borderId="1" xfId="0" applyFont="1" applyBorder="1" applyAlignment="1">
      <alignment horizontal="left" vertical="top" wrapText="1"/>
    </xf>
    <xf numFmtId="0" fontId="2" fillId="0" borderId="0" xfId="0" applyFont="1"/>
    <xf numFmtId="0" fontId="3" fillId="0" borderId="0" xfId="0" applyFont="1"/>
    <xf numFmtId="10" fontId="2" fillId="0" borderId="0" xfId="0" applyNumberFormat="1" applyFont="1"/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1" fillId="0" borderId="0" xfId="0" applyFont="1"/>
    <xf numFmtId="0" fontId="4" fillId="0" borderId="2" xfId="0" applyFont="1" applyBorder="1" applyAlignment="1">
      <alignment horizontal="center"/>
    </xf>
    <xf numFmtId="0" fontId="2" fillId="0" borderId="3" xfId="0" applyFont="1" applyBorder="1"/>
    <xf numFmtId="0" fontId="1" fillId="0" borderId="0" xfId="0" applyFont="1" applyAlignment="1">
      <alignment vertical="top" wrapText="1"/>
    </xf>
    <xf numFmtId="0" fontId="0" fillId="0" borderId="0" xfId="0"/>
    <xf numFmtId="0" fontId="1" fillId="0" borderId="0" xfId="0" applyFont="1" applyAlignment="1">
      <alignment horizontal="left" vertical="top" wrapText="1"/>
    </xf>
    <xf numFmtId="0" fontId="4" fillId="0" borderId="2" xfId="0" applyFont="1" applyBorder="1" applyAlignment="1">
      <alignment horizontal="center"/>
    </xf>
    <xf numFmtId="0" fontId="5" fillId="0" borderId="2" xfId="0" applyFont="1" applyBorder="1"/>
    <xf numFmtId="0" fontId="6" fillId="0" borderId="0" xfId="0" applyFont="1"/>
    <xf numFmtId="10" fontId="0" fillId="0" borderId="0" xfId="0" applyNumberFormat="1"/>
    <xf numFmtId="10" fontId="0" fillId="0" borderId="0" xfId="1" applyNumberFormat="1" applyFont="1"/>
    <xf numFmtId="0" fontId="7" fillId="0" borderId="0" xfId="0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'Main Table 1'!$B$3</c:f>
              <c:strCache>
                <c:ptCount val="1"/>
                <c:pt idx="0">
                  <c:v>Vanguard Index 500 Trust</c:v>
                </c:pt>
              </c:strCache>
            </c:strRef>
          </c:tx>
          <c:spPr>
            <a:ln w="28575" cmpd="sng">
              <a:solidFill>
                <a:srgbClr val="666699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'Main Table 1'!$A$4:$A$27</c:f>
              <c:strCache>
                <c:ptCount val="24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January</c:v>
                </c:pt>
                <c:pt idx="13">
                  <c:v>February</c:v>
                </c:pt>
                <c:pt idx="14">
                  <c:v>March</c:v>
                </c:pt>
                <c:pt idx="15">
                  <c:v>April</c:v>
                </c:pt>
                <c:pt idx="16">
                  <c:v>May</c:v>
                </c:pt>
                <c:pt idx="17">
                  <c:v>June</c:v>
                </c:pt>
                <c:pt idx="18">
                  <c:v>July</c:v>
                </c:pt>
                <c:pt idx="19">
                  <c:v>August</c:v>
                </c:pt>
                <c:pt idx="20">
                  <c:v>September</c:v>
                </c:pt>
                <c:pt idx="21">
                  <c:v>October</c:v>
                </c:pt>
                <c:pt idx="22">
                  <c:v>November</c:v>
                </c:pt>
                <c:pt idx="23">
                  <c:v>December</c:v>
                </c:pt>
              </c:strCache>
            </c:strRef>
          </c:cat>
          <c:val>
            <c:numRef>
              <c:f>'Main Table 1'!$B$4:$B$27</c:f>
              <c:numCache>
                <c:formatCode>0.00%</c:formatCode>
                <c:ptCount val="24"/>
                <c:pt idx="0">
                  <c:v>7.3200000000000001E-2</c:v>
                </c:pt>
                <c:pt idx="1">
                  <c:v>-2.47E-2</c:v>
                </c:pt>
                <c:pt idx="2">
                  <c:v>2.2599999999999999E-2</c:v>
                </c:pt>
                <c:pt idx="3">
                  <c:v>5.1799999999999999E-2</c:v>
                </c:pt>
                <c:pt idx="4">
                  <c:v>4.0399999999999998E-2</c:v>
                </c:pt>
                <c:pt idx="5">
                  <c:v>-5.8999999999999999E-3</c:v>
                </c:pt>
                <c:pt idx="6">
                  <c:v>9.01E-2</c:v>
                </c:pt>
                <c:pt idx="7">
                  <c:v>1.8599999999999998E-2</c:v>
                </c:pt>
                <c:pt idx="8">
                  <c:v>-4.0000000000000001E-3</c:v>
                </c:pt>
                <c:pt idx="9">
                  <c:v>-2.3400000000000001E-2</c:v>
                </c:pt>
                <c:pt idx="10">
                  <c:v>2.0400000000000001E-2</c:v>
                </c:pt>
                <c:pt idx="11">
                  <c:v>2.3800000000000002E-2</c:v>
                </c:pt>
                <c:pt idx="12">
                  <c:v>-6.7199999999999996E-2</c:v>
                </c:pt>
                <c:pt idx="13">
                  <c:v>1.2699999999999999E-2</c:v>
                </c:pt>
                <c:pt idx="14">
                  <c:v>2.6100000000000002E-2</c:v>
                </c:pt>
                <c:pt idx="15">
                  <c:v>-2.5000000000000001E-2</c:v>
                </c:pt>
                <c:pt idx="16">
                  <c:v>9.69E-2</c:v>
                </c:pt>
                <c:pt idx="17">
                  <c:v>-6.8999999999999999E-3</c:v>
                </c:pt>
                <c:pt idx="18">
                  <c:v>-3.2000000000000002E-3</c:v>
                </c:pt>
                <c:pt idx="19">
                  <c:v>-9.0300000000000005E-2</c:v>
                </c:pt>
                <c:pt idx="20">
                  <c:v>-4.8899999999999999E-2</c:v>
                </c:pt>
                <c:pt idx="21">
                  <c:v>-4.1000000000000003E-3</c:v>
                </c:pt>
                <c:pt idx="22">
                  <c:v>6.4399999999999999E-2</c:v>
                </c:pt>
                <c:pt idx="23">
                  <c:v>2.7199999999999998E-2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00-E14F-9A96-4EB34F70B799}"/>
            </c:ext>
          </c:extLst>
        </c:ser>
        <c:ser>
          <c:idx val="1"/>
          <c:order val="1"/>
          <c:tx>
            <c:strRef>
              <c:f>'Main Table 1'!$C$3</c:f>
              <c:strCache>
                <c:ptCount val="1"/>
                <c:pt idx="0">
                  <c:v>California REIT</c:v>
                </c:pt>
              </c:strCache>
            </c:strRef>
          </c:tx>
          <c:spPr>
            <a:ln w="28575" cmpd="sng">
              <a:solidFill>
                <a:srgbClr val="993366">
                  <a:alpha val="100000"/>
                </a:srgbClr>
              </a:solidFill>
            </a:ln>
          </c:spPr>
          <c:marker>
            <c:symbol val="none"/>
          </c:marker>
          <c:trendline>
            <c:name>Linear (California REIT)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trendline>
            <c:spPr>
              <a:ln w="25400">
                <a:solidFill>
                  <a:schemeClr val="accent4">
                    <a:lumMod val="75000"/>
                  </a:schemeClr>
                </a:solidFill>
                <a:prstDash val="sysDot"/>
              </a:ln>
            </c:spPr>
            <c:trendlineType val="linear"/>
            <c:dispRSqr val="0"/>
            <c:dispEq val="0"/>
          </c:trendline>
          <c:cat>
            <c:strRef>
              <c:f>'Main Table 1'!$A$4:$A$27</c:f>
              <c:strCache>
                <c:ptCount val="24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January</c:v>
                </c:pt>
                <c:pt idx="13">
                  <c:v>February</c:v>
                </c:pt>
                <c:pt idx="14">
                  <c:v>March</c:v>
                </c:pt>
                <c:pt idx="15">
                  <c:v>April</c:v>
                </c:pt>
                <c:pt idx="16">
                  <c:v>May</c:v>
                </c:pt>
                <c:pt idx="17">
                  <c:v>June</c:v>
                </c:pt>
                <c:pt idx="18">
                  <c:v>July</c:v>
                </c:pt>
                <c:pt idx="19">
                  <c:v>August</c:v>
                </c:pt>
                <c:pt idx="20">
                  <c:v>September</c:v>
                </c:pt>
                <c:pt idx="21">
                  <c:v>October</c:v>
                </c:pt>
                <c:pt idx="22">
                  <c:v>November</c:v>
                </c:pt>
                <c:pt idx="23">
                  <c:v>December</c:v>
                </c:pt>
              </c:strCache>
            </c:strRef>
          </c:cat>
          <c:val>
            <c:numRef>
              <c:f>'Main Table 1'!$C$4:$C$27</c:f>
              <c:numCache>
                <c:formatCode>0.00%</c:formatCode>
                <c:ptCount val="24"/>
                <c:pt idx="0">
                  <c:v>-0.28260000000000002</c:v>
                </c:pt>
                <c:pt idx="1">
                  <c:v>-3.0300000000000001E-2</c:v>
                </c:pt>
                <c:pt idx="2">
                  <c:v>8.7499999999999994E-2</c:v>
                </c:pt>
                <c:pt idx="3">
                  <c:v>-1.47E-2</c:v>
                </c:pt>
                <c:pt idx="4">
                  <c:v>-1.49E-2</c:v>
                </c:pt>
                <c:pt idx="5">
                  <c:v>-9.0899999999999995E-2</c:v>
                </c:pt>
                <c:pt idx="6">
                  <c:v>0.1067</c:v>
                </c:pt>
                <c:pt idx="7">
                  <c:v>-9.3799999999999994E-2</c:v>
                </c:pt>
                <c:pt idx="8">
                  <c:v>0.10340000000000001</c:v>
                </c:pt>
                <c:pt idx="9">
                  <c:v>-0.14380000000000001</c:v>
                </c:pt>
                <c:pt idx="10">
                  <c:v>-0.14810000000000001</c:v>
                </c:pt>
                <c:pt idx="11">
                  <c:v>-4.3499999999999997E-2</c:v>
                </c:pt>
                <c:pt idx="12">
                  <c:v>-5.45E-2</c:v>
                </c:pt>
                <c:pt idx="13">
                  <c:v>0.05</c:v>
                </c:pt>
                <c:pt idx="14">
                  <c:v>9.5200000000000007E-2</c:v>
                </c:pt>
                <c:pt idx="15">
                  <c:v>-8.6999999999999994E-3</c:v>
                </c:pt>
                <c:pt idx="16">
                  <c:v>0</c:v>
                </c:pt>
                <c:pt idx="17">
                  <c:v>4.5499999999999999E-2</c:v>
                </c:pt>
                <c:pt idx="18">
                  <c:v>3.4799999999999998E-2</c:v>
                </c:pt>
                <c:pt idx="19">
                  <c:v>0</c:v>
                </c:pt>
                <c:pt idx="20">
                  <c:v>-0.13039999999999999</c:v>
                </c:pt>
                <c:pt idx="21">
                  <c:v>0</c:v>
                </c:pt>
                <c:pt idx="22">
                  <c:v>1.4999999999999999E-2</c:v>
                </c:pt>
                <c:pt idx="23">
                  <c:v>-2.5600000000000001E-2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F00-E14F-9A96-4EB34F70B799}"/>
            </c:ext>
          </c:extLst>
        </c:ser>
        <c:ser>
          <c:idx val="2"/>
          <c:order val="2"/>
          <c:tx>
            <c:strRef>
              <c:f>'Main Table 1'!$D$3</c:f>
              <c:strCache>
                <c:ptCount val="1"/>
                <c:pt idx="0">
                  <c:v>Brown Group</c:v>
                </c:pt>
              </c:strCache>
            </c:strRef>
          </c:tx>
          <c:spPr>
            <a:ln w="28575" cmpd="sng">
              <a:solidFill>
                <a:srgbClr val="99CC00">
                  <a:alpha val="100000"/>
                </a:srgbClr>
              </a:solidFill>
            </a:ln>
          </c:spPr>
          <c:marker>
            <c:symbol val="none"/>
          </c:marker>
          <c:trendline>
            <c:name>Linear (Brown Group)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trendline>
            <c:spPr>
              <a:ln w="19050">
                <a:solidFill>
                  <a:schemeClr val="accent3"/>
                </a:solidFill>
                <a:prstDash val="sysDash"/>
              </a:ln>
            </c:spPr>
            <c:trendlineType val="linear"/>
            <c:dispRSqr val="0"/>
            <c:dispEq val="0"/>
          </c:trendline>
          <c:cat>
            <c:strRef>
              <c:f>'Main Table 1'!$A$4:$A$27</c:f>
              <c:strCache>
                <c:ptCount val="24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January</c:v>
                </c:pt>
                <c:pt idx="13">
                  <c:v>February</c:v>
                </c:pt>
                <c:pt idx="14">
                  <c:v>March</c:v>
                </c:pt>
                <c:pt idx="15">
                  <c:v>April</c:v>
                </c:pt>
                <c:pt idx="16">
                  <c:v>May</c:v>
                </c:pt>
                <c:pt idx="17">
                  <c:v>June</c:v>
                </c:pt>
                <c:pt idx="18">
                  <c:v>July</c:v>
                </c:pt>
                <c:pt idx="19">
                  <c:v>August</c:v>
                </c:pt>
                <c:pt idx="20">
                  <c:v>September</c:v>
                </c:pt>
                <c:pt idx="21">
                  <c:v>October</c:v>
                </c:pt>
                <c:pt idx="22">
                  <c:v>November</c:v>
                </c:pt>
                <c:pt idx="23">
                  <c:v>December</c:v>
                </c:pt>
              </c:strCache>
            </c:strRef>
          </c:cat>
          <c:val>
            <c:numRef>
              <c:f>'Main Table 1'!$D$4:$D$27</c:f>
              <c:numCache>
                <c:formatCode>0.00%</c:formatCode>
                <c:ptCount val="24"/>
                <c:pt idx="0">
                  <c:v>9.1600000000000001E-2</c:v>
                </c:pt>
                <c:pt idx="1">
                  <c:v>7.3000000000000001E-3</c:v>
                </c:pt>
                <c:pt idx="2">
                  <c:v>-2.8999999999999998E-3</c:v>
                </c:pt>
                <c:pt idx="3">
                  <c:v>2.2100000000000002E-2</c:v>
                </c:pt>
                <c:pt idx="4">
                  <c:v>-1.0800000000000001E-2</c:v>
                </c:pt>
                <c:pt idx="5">
                  <c:v>-6.4999999999999997E-3</c:v>
                </c:pt>
                <c:pt idx="6">
                  <c:v>2.2200000000000001E-2</c:v>
                </c:pt>
                <c:pt idx="7">
                  <c:v>0</c:v>
                </c:pt>
                <c:pt idx="8">
                  <c:v>1.8800000000000001E-2</c:v>
                </c:pt>
                <c:pt idx="9">
                  <c:v>-7.5499999999999998E-2</c:v>
                </c:pt>
                <c:pt idx="10">
                  <c:v>-0.12839999999999999</c:v>
                </c:pt>
                <c:pt idx="11">
                  <c:v>-1.7000000000000001E-2</c:v>
                </c:pt>
                <c:pt idx="12">
                  <c:v>-0.15210000000000001</c:v>
                </c:pt>
                <c:pt idx="13">
                  <c:v>7.6100000000000001E-2</c:v>
                </c:pt>
                <c:pt idx="14">
                  <c:v>1.11E-2</c:v>
                </c:pt>
                <c:pt idx="15">
                  <c:v>-5.1000000000000004E-3</c:v>
                </c:pt>
                <c:pt idx="16">
                  <c:v>0.12709999999999999</c:v>
                </c:pt>
                <c:pt idx="17">
                  <c:v>3.32E-2</c:v>
                </c:pt>
                <c:pt idx="18">
                  <c:v>3.1699999999999999E-2</c:v>
                </c:pt>
                <c:pt idx="19">
                  <c:v>-0.1472</c:v>
                </c:pt>
                <c:pt idx="20">
                  <c:v>-1.9099999999999999E-2</c:v>
                </c:pt>
                <c:pt idx="21">
                  <c:v>-0.125</c:v>
                </c:pt>
                <c:pt idx="22">
                  <c:v>0.1726</c:v>
                </c:pt>
                <c:pt idx="23">
                  <c:v>-8.5300000000000001E-2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F00-E14F-9A96-4EB34F70B7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7811772"/>
        <c:axId val="1736604540"/>
      </c:lineChart>
      <c:catAx>
        <c:axId val="19878117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SG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36604540"/>
        <c:crosses val="autoZero"/>
        <c:auto val="1"/>
        <c:lblAlgn val="ctr"/>
        <c:lblOffset val="100"/>
        <c:noMultiLvlLbl val="1"/>
      </c:catAx>
      <c:valAx>
        <c:axId val="17366045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SG"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87811772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361950</xdr:colOff>
      <xdr:row>1</xdr:row>
      <xdr:rowOff>66675</xdr:rowOff>
    </xdr:from>
    <xdr:ext cx="8039100" cy="5105400"/>
    <xdr:graphicFrame macro="">
      <xdr:nvGraphicFramePr>
        <xdr:cNvPr id="1293008722" name="Chart 1" descr="Chart 0">
          <a:extLst>
            <a:ext uri="{FF2B5EF4-FFF2-40B4-BE49-F238E27FC236}">
              <a16:creationId xmlns:a16="http://schemas.microsoft.com/office/drawing/2014/main" id="{00000000-0008-0000-0000-000052BF11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8</xdr:col>
      <xdr:colOff>615950</xdr:colOff>
      <xdr:row>32</xdr:row>
      <xdr:rowOff>139700</xdr:rowOff>
    </xdr:from>
    <xdr:ext cx="3171825" cy="4000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867650" y="5537200"/>
          <a:ext cx="3171825" cy="4000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9</xdr:col>
      <xdr:colOff>88900</xdr:colOff>
      <xdr:row>52</xdr:row>
      <xdr:rowOff>76200</xdr:rowOff>
    </xdr:from>
    <xdr:to>
      <xdr:col>13</xdr:col>
      <xdr:colOff>38100</xdr:colOff>
      <xdr:row>55</xdr:row>
      <xdr:rowOff>27314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99E6DCE-D14A-2423-453F-11576F6A7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13700" y="8521700"/>
          <a:ext cx="2997200" cy="4083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97"/>
  <sheetViews>
    <sheetView tabSelected="1" workbookViewId="0">
      <selection activeCell="G25" sqref="G25"/>
    </sheetView>
  </sheetViews>
  <sheetFormatPr baseColWidth="10" defaultColWidth="12.6640625" defaultRowHeight="15" customHeight="1" x14ac:dyDescent="0.15"/>
  <cols>
    <col min="1" max="1" width="19.33203125" customWidth="1"/>
    <col min="2" max="2" width="16.5" customWidth="1"/>
    <col min="3" max="3" width="11.1640625" customWidth="1"/>
    <col min="4" max="4" width="10.1640625" customWidth="1"/>
    <col min="5" max="5" width="8.83203125" customWidth="1"/>
    <col min="6" max="6" width="11.5" customWidth="1"/>
    <col min="7" max="9" width="8.83203125" customWidth="1"/>
    <col min="10" max="26" width="10" customWidth="1"/>
  </cols>
  <sheetData>
    <row r="1" spans="1:9" ht="12.75" customHeight="1" x14ac:dyDescent="0.15">
      <c r="A1" s="15" t="s">
        <v>0</v>
      </c>
      <c r="B1" s="16"/>
      <c r="C1" s="16"/>
      <c r="D1" s="16"/>
    </row>
    <row r="2" spans="1:9" ht="12.75" customHeight="1" x14ac:dyDescent="0.15">
      <c r="A2" s="17"/>
      <c r="B2" s="16"/>
      <c r="C2" s="16"/>
      <c r="D2" s="16"/>
    </row>
    <row r="3" spans="1:9" ht="27.75" customHeight="1" x14ac:dyDescent="0.15">
      <c r="A3" s="1" t="s">
        <v>76</v>
      </c>
      <c r="B3" s="2" t="s">
        <v>1</v>
      </c>
      <c r="C3" s="2" t="s">
        <v>2</v>
      </c>
      <c r="D3" s="2" t="s">
        <v>3</v>
      </c>
      <c r="E3" s="2" t="s">
        <v>4</v>
      </c>
    </row>
    <row r="4" spans="1:9" ht="13.5" customHeight="1" x14ac:dyDescent="0.15">
      <c r="A4" s="3" t="s">
        <v>75</v>
      </c>
      <c r="B4" s="4">
        <v>7.3200000000000001E-2</v>
      </c>
      <c r="C4" s="4">
        <v>-0.28260000000000002</v>
      </c>
      <c r="D4" s="4">
        <v>9.1600000000000001E-2</v>
      </c>
      <c r="E4" s="5">
        <v>3.0000000000000001E-3</v>
      </c>
    </row>
    <row r="5" spans="1:9" ht="13.5" customHeight="1" x14ac:dyDescent="0.15">
      <c r="A5" s="6" t="s">
        <v>5</v>
      </c>
      <c r="B5" s="4">
        <v>-2.47E-2</v>
      </c>
      <c r="C5" s="4">
        <v>-3.0300000000000001E-2</v>
      </c>
      <c r="D5" s="4">
        <v>7.3000000000000001E-3</v>
      </c>
      <c r="E5" s="5">
        <v>3.0000000000000001E-3</v>
      </c>
    </row>
    <row r="6" spans="1:9" ht="13.5" customHeight="1" x14ac:dyDescent="0.15">
      <c r="A6" s="6" t="s">
        <v>6</v>
      </c>
      <c r="B6" s="4">
        <v>2.2599999999999999E-2</v>
      </c>
      <c r="C6" s="4">
        <v>8.7499999999999994E-2</v>
      </c>
      <c r="D6" s="4">
        <v>-2.8999999999999998E-3</v>
      </c>
      <c r="E6" s="5">
        <v>3.0000000000000001E-3</v>
      </c>
    </row>
    <row r="7" spans="1:9" ht="13.5" customHeight="1" x14ac:dyDescent="0.15">
      <c r="A7" s="6" t="s">
        <v>7</v>
      </c>
      <c r="B7" s="4">
        <v>5.1799999999999999E-2</v>
      </c>
      <c r="C7" s="4">
        <v>-1.47E-2</v>
      </c>
      <c r="D7" s="4">
        <v>2.2100000000000002E-2</v>
      </c>
      <c r="E7" s="5">
        <v>3.0000000000000001E-3</v>
      </c>
    </row>
    <row r="8" spans="1:9" ht="13.5" customHeight="1" x14ac:dyDescent="0.15">
      <c r="A8" s="6" t="s">
        <v>8</v>
      </c>
      <c r="B8" s="4">
        <v>4.0399999999999998E-2</v>
      </c>
      <c r="C8" s="4">
        <v>-1.49E-2</v>
      </c>
      <c r="D8" s="4">
        <v>-1.0800000000000001E-2</v>
      </c>
      <c r="E8" s="5">
        <v>3.0000000000000001E-3</v>
      </c>
    </row>
    <row r="9" spans="1:9" ht="13.5" customHeight="1" x14ac:dyDescent="0.15">
      <c r="A9" s="6" t="s">
        <v>9</v>
      </c>
      <c r="B9" s="4">
        <v>-5.8999999999999999E-3</v>
      </c>
      <c r="C9" s="4">
        <v>-9.0899999999999995E-2</v>
      </c>
      <c r="D9" s="4">
        <v>-6.4999999999999997E-3</v>
      </c>
      <c r="E9" s="5">
        <v>3.0000000000000001E-3</v>
      </c>
      <c r="F9" s="7" t="s">
        <v>10</v>
      </c>
      <c r="G9" s="7" t="s">
        <v>11</v>
      </c>
      <c r="H9" s="7" t="s">
        <v>12</v>
      </c>
      <c r="I9" s="7" t="s">
        <v>13</v>
      </c>
    </row>
    <row r="10" spans="1:9" ht="13.5" customHeight="1" x14ac:dyDescent="0.15">
      <c r="A10" s="6" t="s">
        <v>14</v>
      </c>
      <c r="B10" s="4">
        <v>9.01E-2</v>
      </c>
      <c r="C10" s="4">
        <v>0.1067</v>
      </c>
      <c r="D10" s="4">
        <v>2.2200000000000001E-2</v>
      </c>
      <c r="E10" s="5">
        <v>3.0000000000000001E-3</v>
      </c>
      <c r="F10" s="7" t="s">
        <v>11</v>
      </c>
      <c r="G10" s="8">
        <f>_xlfn.VAR.S(B4:B27)</f>
        <v>2.1218402173913044E-3</v>
      </c>
    </row>
    <row r="11" spans="1:9" ht="13.5" customHeight="1" x14ac:dyDescent="0.15">
      <c r="A11" s="6" t="s">
        <v>15</v>
      </c>
      <c r="B11" s="4">
        <v>1.8599999999999998E-2</v>
      </c>
      <c r="C11" s="4">
        <v>-9.3799999999999994E-2</v>
      </c>
      <c r="D11" s="4">
        <v>0</v>
      </c>
      <c r="E11" s="5">
        <v>3.0000000000000001E-3</v>
      </c>
      <c r="F11" s="7" t="s">
        <v>12</v>
      </c>
      <c r="G11" s="8">
        <f>_xlfn.COVARIANCE.S(B4:B27,C4:C27)</f>
        <v>3.1265619565217368E-4</v>
      </c>
      <c r="H11" s="8">
        <f>_xlfn.VAR.S(C4:C27)</f>
        <v>8.5206486775362307E-3</v>
      </c>
    </row>
    <row r="12" spans="1:9" ht="13.5" customHeight="1" x14ac:dyDescent="0.15">
      <c r="A12" s="6" t="s">
        <v>16</v>
      </c>
      <c r="B12" s="4">
        <v>-4.0000000000000001E-3</v>
      </c>
      <c r="C12" s="4">
        <v>0.10340000000000001</v>
      </c>
      <c r="D12" s="4">
        <v>1.8800000000000001E-2</v>
      </c>
      <c r="E12" s="5">
        <v>3.0000000000000001E-3</v>
      </c>
      <c r="F12" s="7" t="s">
        <v>13</v>
      </c>
      <c r="G12" s="8">
        <f>_xlfn.COVARIANCE.S(B4:B27,D4:D27)</f>
        <v>2.4684420652173909E-3</v>
      </c>
      <c r="I12" s="8">
        <f>_xlfn.VAR.S(D4:D27)</f>
        <v>6.6696150543478269E-3</v>
      </c>
    </row>
    <row r="13" spans="1:9" ht="13.5" customHeight="1" x14ac:dyDescent="0.15">
      <c r="A13" s="6" t="s">
        <v>17</v>
      </c>
      <c r="B13" s="4">
        <v>-2.3400000000000001E-2</v>
      </c>
      <c r="C13" s="4">
        <v>-0.14380000000000001</v>
      </c>
      <c r="D13" s="4">
        <v>-7.5499999999999998E-2</v>
      </c>
      <c r="E13" s="5">
        <v>3.0000000000000001E-3</v>
      </c>
    </row>
    <row r="14" spans="1:9" ht="13.5" customHeight="1" x14ac:dyDescent="0.15">
      <c r="A14" s="6" t="s">
        <v>18</v>
      </c>
      <c r="B14" s="4">
        <v>2.0400000000000001E-2</v>
      </c>
      <c r="C14" s="4">
        <v>-0.14810000000000001</v>
      </c>
      <c r="D14" s="4">
        <v>-0.12839999999999999</v>
      </c>
      <c r="E14" s="5">
        <v>3.0000000000000001E-3</v>
      </c>
      <c r="G14" s="7" t="s">
        <v>19</v>
      </c>
      <c r="H14" s="7" t="s">
        <v>20</v>
      </c>
    </row>
    <row r="15" spans="1:9" ht="13.5" customHeight="1" x14ac:dyDescent="0.15">
      <c r="A15" s="6" t="s">
        <v>21</v>
      </c>
      <c r="B15" s="4">
        <v>2.3800000000000002E-2</v>
      </c>
      <c r="C15" s="4">
        <v>-4.3499999999999997E-2</v>
      </c>
      <c r="D15" s="4">
        <v>-1.7000000000000001E-2</v>
      </c>
      <c r="E15" s="5">
        <v>3.0000000000000001E-3</v>
      </c>
      <c r="F15" s="7" t="s">
        <v>22</v>
      </c>
      <c r="G15" s="8">
        <f>G11</f>
        <v>3.1265619565217368E-4</v>
      </c>
      <c r="H15" s="8">
        <f>G12</f>
        <v>2.4684420652173909E-3</v>
      </c>
    </row>
    <row r="16" spans="1:9" ht="13.5" customHeight="1" x14ac:dyDescent="0.15">
      <c r="A16" s="3" t="s">
        <v>75</v>
      </c>
      <c r="B16" s="4">
        <v>-6.7199999999999996E-2</v>
      </c>
      <c r="C16" s="4">
        <v>-5.45E-2</v>
      </c>
      <c r="D16" s="4">
        <v>-0.15210000000000001</v>
      </c>
      <c r="E16" s="5">
        <v>3.0000000000000001E-3</v>
      </c>
      <c r="F16" s="7" t="s">
        <v>23</v>
      </c>
      <c r="G16" s="8">
        <f>CORREL(B4:B27,C4:C27)</f>
        <v>7.3531660154297865E-2</v>
      </c>
      <c r="H16" s="8">
        <f>CORREL(B4:B27,D4:D27)</f>
        <v>0.65616976628933021</v>
      </c>
    </row>
    <row r="17" spans="1:9" ht="13.5" customHeight="1" x14ac:dyDescent="0.15">
      <c r="A17" s="6" t="s">
        <v>5</v>
      </c>
      <c r="B17" s="4">
        <v>1.2699999999999999E-2</v>
      </c>
      <c r="C17" s="4">
        <v>0.05</v>
      </c>
      <c r="D17" s="4">
        <v>7.6100000000000001E-2</v>
      </c>
      <c r="E17" s="5">
        <v>3.0000000000000001E-3</v>
      </c>
    </row>
    <row r="18" spans="1:9" ht="13.5" customHeight="1" x14ac:dyDescent="0.15">
      <c r="A18" s="6" t="s">
        <v>6</v>
      </c>
      <c r="B18" s="4">
        <v>2.6100000000000002E-2</v>
      </c>
      <c r="C18" s="4">
        <v>9.5200000000000007E-2</v>
      </c>
      <c r="D18" s="4">
        <v>1.11E-2</v>
      </c>
      <c r="E18" s="5">
        <v>3.0000000000000001E-3</v>
      </c>
    </row>
    <row r="19" spans="1:9" ht="13.5" customHeight="1" x14ac:dyDescent="0.15">
      <c r="A19" s="6" t="s">
        <v>7</v>
      </c>
      <c r="B19" s="4">
        <v>-2.5000000000000001E-2</v>
      </c>
      <c r="C19" s="4">
        <v>-8.6999999999999994E-3</v>
      </c>
      <c r="D19" s="4">
        <v>-5.1000000000000004E-3</v>
      </c>
      <c r="E19" s="5">
        <v>3.0000000000000001E-3</v>
      </c>
    </row>
    <row r="20" spans="1:9" ht="13.5" customHeight="1" x14ac:dyDescent="0.15">
      <c r="A20" s="6" t="s">
        <v>8</v>
      </c>
      <c r="B20" s="4">
        <v>9.69E-2</v>
      </c>
      <c r="C20" s="4">
        <v>0</v>
      </c>
      <c r="D20" s="4">
        <v>0.12709999999999999</v>
      </c>
      <c r="E20" s="5">
        <v>3.0000000000000001E-3</v>
      </c>
    </row>
    <row r="21" spans="1:9" ht="13.5" customHeight="1" x14ac:dyDescent="0.15">
      <c r="A21" s="6" t="s">
        <v>9</v>
      </c>
      <c r="B21" s="4">
        <v>-6.8999999999999999E-3</v>
      </c>
      <c r="C21" s="4">
        <v>4.5499999999999999E-2</v>
      </c>
      <c r="D21" s="4">
        <v>3.32E-2</v>
      </c>
      <c r="E21" s="5">
        <v>3.0000000000000001E-3</v>
      </c>
    </row>
    <row r="22" spans="1:9" ht="13.5" customHeight="1" x14ac:dyDescent="0.15">
      <c r="A22" s="6" t="s">
        <v>14</v>
      </c>
      <c r="B22" s="4">
        <v>-3.2000000000000002E-3</v>
      </c>
      <c r="C22" s="4">
        <v>3.4799999999999998E-2</v>
      </c>
      <c r="D22" s="4">
        <v>3.1699999999999999E-2</v>
      </c>
      <c r="E22" s="5">
        <v>3.0000000000000001E-3</v>
      </c>
    </row>
    <row r="23" spans="1:9" ht="13.5" customHeight="1" x14ac:dyDescent="0.15">
      <c r="A23" s="6" t="s">
        <v>15</v>
      </c>
      <c r="B23" s="4">
        <v>-9.0300000000000005E-2</v>
      </c>
      <c r="C23" s="4">
        <v>0</v>
      </c>
      <c r="D23" s="4">
        <v>-0.1472</v>
      </c>
      <c r="E23" s="5">
        <v>3.0000000000000001E-3</v>
      </c>
    </row>
    <row r="24" spans="1:9" ht="13.5" customHeight="1" x14ac:dyDescent="0.15">
      <c r="A24" s="6" t="s">
        <v>16</v>
      </c>
      <c r="B24" s="4">
        <v>-4.8899999999999999E-2</v>
      </c>
      <c r="C24" s="4">
        <v>-0.13039999999999999</v>
      </c>
      <c r="D24" s="4">
        <v>-1.9099999999999999E-2</v>
      </c>
      <c r="E24" s="5">
        <v>3.0000000000000001E-3</v>
      </c>
    </row>
    <row r="25" spans="1:9" ht="13.5" customHeight="1" x14ac:dyDescent="0.15">
      <c r="A25" s="6" t="s">
        <v>17</v>
      </c>
      <c r="B25" s="4">
        <v>-4.1000000000000003E-3</v>
      </c>
      <c r="C25" s="4">
        <v>0</v>
      </c>
      <c r="D25" s="4">
        <v>-0.125</v>
      </c>
      <c r="E25" s="5">
        <v>3.0000000000000001E-3</v>
      </c>
      <c r="I25" s="9"/>
    </row>
    <row r="26" spans="1:9" ht="13.5" customHeight="1" x14ac:dyDescent="0.15">
      <c r="A26" s="6" t="s">
        <v>18</v>
      </c>
      <c r="B26" s="4">
        <v>6.4399999999999999E-2</v>
      </c>
      <c r="C26" s="4">
        <v>1.4999999999999999E-2</v>
      </c>
      <c r="D26" s="4">
        <v>0.1726</v>
      </c>
      <c r="E26" s="5">
        <v>3.0000000000000001E-3</v>
      </c>
    </row>
    <row r="27" spans="1:9" ht="13.5" customHeight="1" x14ac:dyDescent="0.15">
      <c r="A27" s="6" t="s">
        <v>21</v>
      </c>
      <c r="B27" s="4">
        <v>2.7199999999999998E-2</v>
      </c>
      <c r="C27" s="4">
        <v>-2.5600000000000001E-2</v>
      </c>
      <c r="D27" s="4">
        <v>-8.5300000000000001E-2</v>
      </c>
      <c r="E27" s="5">
        <v>3.0000000000000001E-3</v>
      </c>
    </row>
    <row r="28" spans="1:9" ht="12.75" customHeight="1" x14ac:dyDescent="0.15">
      <c r="E28" s="7"/>
    </row>
    <row r="29" spans="1:9" ht="12.75" customHeight="1" x14ac:dyDescent="0.15">
      <c r="B29" s="20" t="s">
        <v>11</v>
      </c>
      <c r="C29" s="20" t="s">
        <v>36</v>
      </c>
      <c r="D29" s="20" t="s">
        <v>13</v>
      </c>
      <c r="E29" s="20" t="s">
        <v>4</v>
      </c>
    </row>
    <row r="30" spans="1:9" ht="13.5" customHeight="1" x14ac:dyDescent="0.15">
      <c r="A30" s="10" t="s">
        <v>73</v>
      </c>
      <c r="B30" s="9">
        <f t="shared" ref="B30:D30" si="0">AVERAGE(B4:B27)</f>
        <v>1.1025000000000002E-2</v>
      </c>
      <c r="C30" s="9">
        <f t="shared" si="0"/>
        <v>-2.2654166666666659E-2</v>
      </c>
      <c r="D30" s="9">
        <f t="shared" si="0"/>
        <v>-6.7124999999999988E-3</v>
      </c>
      <c r="E30" s="9">
        <v>3.0000000000000001E-3</v>
      </c>
    </row>
    <row r="31" spans="1:9" ht="13.5" customHeight="1" x14ac:dyDescent="0.15">
      <c r="A31" s="10" t="s">
        <v>24</v>
      </c>
      <c r="B31" s="11">
        <v>0.99</v>
      </c>
      <c r="C31" s="11">
        <f>1-B31</f>
        <v>1.0000000000000009E-2</v>
      </c>
      <c r="D31" s="11">
        <f>1-B31</f>
        <v>1.0000000000000009E-2</v>
      </c>
      <c r="E31" s="11">
        <f>1-B31</f>
        <v>1.0000000000000009E-2</v>
      </c>
    </row>
    <row r="32" spans="1:9" ht="12.75" customHeight="1" x14ac:dyDescent="0.15"/>
    <row r="33" spans="1:7" ht="12.75" customHeight="1" x14ac:dyDescent="0.15">
      <c r="A33" s="7" t="s">
        <v>25</v>
      </c>
    </row>
    <row r="34" spans="1:7" ht="12.75" customHeight="1" x14ac:dyDescent="0.15">
      <c r="A34" s="20" t="s">
        <v>77</v>
      </c>
      <c r="B34" s="9">
        <f>STDEV(B4:B27)</f>
        <v>4.6063436882101017E-2</v>
      </c>
      <c r="C34" s="9">
        <f>STDEV(C4:C27)</f>
        <v>9.2307359823235277E-2</v>
      </c>
      <c r="D34" s="9">
        <f>STDEV(D4:D27)</f>
        <v>8.1667711210415508E-2</v>
      </c>
    </row>
    <row r="35" spans="1:7" ht="12.75" customHeight="1" x14ac:dyDescent="0.15">
      <c r="B35" s="7" t="s">
        <v>78</v>
      </c>
    </row>
    <row r="36" spans="1:7" ht="12.75" customHeight="1" x14ac:dyDescent="0.15"/>
    <row r="37" spans="1:7" ht="12.75" customHeight="1" x14ac:dyDescent="0.15">
      <c r="A37" s="20" t="s">
        <v>79</v>
      </c>
      <c r="B37" s="21">
        <f>B30+B34</f>
        <v>5.7088436882101017E-2</v>
      </c>
      <c r="C37" s="21">
        <f>C30+C34</f>
        <v>6.9653193156568621E-2</v>
      </c>
      <c r="D37" s="21">
        <f>D30+D34</f>
        <v>7.4955211210415512E-2</v>
      </c>
    </row>
    <row r="38" spans="1:7" ht="12.75" customHeight="1" x14ac:dyDescent="0.15"/>
    <row r="39" spans="1:7" ht="12.75" customHeight="1" x14ac:dyDescent="0.15"/>
    <row r="40" spans="1:7" ht="12.75" customHeight="1" x14ac:dyDescent="0.15"/>
    <row r="41" spans="1:7" ht="12.75" customHeight="1" x14ac:dyDescent="0.15"/>
    <row r="42" spans="1:7" ht="12.75" customHeight="1" x14ac:dyDescent="0.15">
      <c r="A42" s="7" t="s">
        <v>26</v>
      </c>
      <c r="D42" s="7" t="s">
        <v>27</v>
      </c>
      <c r="E42" s="7" t="s">
        <v>28</v>
      </c>
      <c r="F42" s="7" t="s">
        <v>29</v>
      </c>
      <c r="G42" s="7" t="s">
        <v>30</v>
      </c>
    </row>
    <row r="43" spans="1:7" ht="12.75" customHeight="1" x14ac:dyDescent="0.15">
      <c r="B43" s="7" t="s">
        <v>31</v>
      </c>
      <c r="D43" s="8">
        <f>B34^2*0.99^2</f>
        <v>2.0796155970652171E-3</v>
      </c>
      <c r="E43" s="9">
        <f t="shared" ref="E43:E45" si="1">D43^0.5</f>
        <v>4.5602802513280007E-2</v>
      </c>
      <c r="F43" s="9">
        <f>B31*B30+E31*E30</f>
        <v>1.0944750000000001E-2</v>
      </c>
    </row>
    <row r="44" spans="1:7" ht="12.75" customHeight="1" x14ac:dyDescent="0.15">
      <c r="B44" s="7" t="s">
        <v>32</v>
      </c>
      <c r="D44" s="8">
        <f>G10*0.99^2+H11*0.01^2+2*0.99*0.01*G11</f>
        <v>2.0866582546068841E-3</v>
      </c>
      <c r="E44" s="9">
        <f t="shared" si="1"/>
        <v>4.5679954625709555E-2</v>
      </c>
      <c r="F44" s="9">
        <f>B31*B30+C31*C30</f>
        <v>1.0688208333333334E-2</v>
      </c>
      <c r="G44" s="7" t="s">
        <v>74</v>
      </c>
    </row>
    <row r="45" spans="1:7" ht="12.75" customHeight="1" x14ac:dyDescent="0.15">
      <c r="B45" s="7" t="s">
        <v>33</v>
      </c>
      <c r="D45" s="8">
        <f>G10*0.99^2+I12*0.01^2+2*0.99*0.01*G12</f>
        <v>2.1291577114619566E-3</v>
      </c>
      <c r="E45" s="9">
        <f t="shared" si="1"/>
        <v>4.6142796961843965E-2</v>
      </c>
      <c r="F45" s="9">
        <f>B31*B30+D31*D30</f>
        <v>1.0847625000000001E-2</v>
      </c>
      <c r="G45" s="7" t="s">
        <v>34</v>
      </c>
    </row>
    <row r="46" spans="1:7" ht="12.75" customHeight="1" x14ac:dyDescent="0.15"/>
    <row r="47" spans="1:7" ht="12.75" customHeight="1" x14ac:dyDescent="0.15">
      <c r="A47" s="7" t="s">
        <v>35</v>
      </c>
      <c r="C47" s="7" t="s">
        <v>36</v>
      </c>
      <c r="D47" s="7" t="s">
        <v>13</v>
      </c>
      <c r="F47" s="7"/>
    </row>
    <row r="48" spans="1:7" ht="12.75" customHeight="1" x14ac:dyDescent="0.15">
      <c r="B48" s="7" t="s">
        <v>37</v>
      </c>
      <c r="C48" s="8">
        <f>'V,C'!B17</f>
        <v>-2.4278716210412783E-2</v>
      </c>
      <c r="D48" s="8">
        <f>'V,B'!B17</f>
        <v>-1.9538429844274837E-2</v>
      </c>
      <c r="F48" s="12" t="s">
        <v>38</v>
      </c>
    </row>
    <row r="49" spans="1:9" ht="12.75" customHeight="1" x14ac:dyDescent="0.15">
      <c r="B49" s="7" t="s">
        <v>39</v>
      </c>
      <c r="C49" s="7">
        <f>'V,C'!B18</f>
        <v>0.14735143253933089</v>
      </c>
      <c r="D49" s="7">
        <f>'V,B'!B18</f>
        <v>1.1633496457392143</v>
      </c>
      <c r="F49" s="12" t="s">
        <v>40</v>
      </c>
    </row>
    <row r="50" spans="1:9" ht="12.75" customHeight="1" x14ac:dyDescent="0.15"/>
    <row r="51" spans="1:9" ht="12.75" customHeight="1" x14ac:dyDescent="0.15"/>
    <row r="52" spans="1:9" ht="12.75" customHeight="1" x14ac:dyDescent="0.15">
      <c r="A52" s="7" t="s">
        <v>41</v>
      </c>
      <c r="B52" s="20"/>
    </row>
    <row r="53" spans="1:9" ht="12.75" customHeight="1" x14ac:dyDescent="0.15">
      <c r="A53" s="23" t="s">
        <v>67</v>
      </c>
      <c r="C53" s="23" t="s">
        <v>71</v>
      </c>
      <c r="D53" s="23" t="s">
        <v>72</v>
      </c>
      <c r="H53" s="20" t="s">
        <v>36</v>
      </c>
      <c r="I53" s="20" t="s">
        <v>13</v>
      </c>
    </row>
    <row r="54" spans="1:9" ht="12.75" customHeight="1" x14ac:dyDescent="0.15">
      <c r="B54" s="20" t="s">
        <v>36</v>
      </c>
      <c r="C54" s="21">
        <f>G54+H56*(B30-E30)</f>
        <v>4.1824952461281305E-3</v>
      </c>
      <c r="D54" s="22">
        <f>(1+C54)^12-1</f>
        <v>5.1360747448096822E-2</v>
      </c>
      <c r="F54" s="20" t="s">
        <v>68</v>
      </c>
      <c r="G54" s="21">
        <v>3.0000000000000001E-3</v>
      </c>
    </row>
    <row r="55" spans="1:9" ht="12.75" customHeight="1" x14ac:dyDescent="0.15">
      <c r="B55" s="20" t="s">
        <v>13</v>
      </c>
      <c r="C55" s="22">
        <f>G54+I56*(B30-E30)</f>
        <v>1.2335880907057197E-2</v>
      </c>
      <c r="D55" s="22">
        <f>(1+C55)^12-1</f>
        <v>0.15849872826314582</v>
      </c>
      <c r="F55" s="20" t="s">
        <v>69</v>
      </c>
      <c r="G55" s="21">
        <f>B30</f>
        <v>1.1025000000000002E-2</v>
      </c>
    </row>
    <row r="56" spans="1:9" ht="12.75" customHeight="1" x14ac:dyDescent="0.15">
      <c r="F56" s="20" t="s">
        <v>70</v>
      </c>
      <c r="H56">
        <f>C49</f>
        <v>0.14735143253933089</v>
      </c>
      <c r="I56">
        <f>D49</f>
        <v>1.1633496457392143</v>
      </c>
    </row>
    <row r="57" spans="1:9" ht="12.75" customHeight="1" x14ac:dyDescent="0.15"/>
    <row r="58" spans="1:9" ht="12.75" customHeight="1" x14ac:dyDescent="0.15"/>
    <row r="59" spans="1:9" ht="12.75" customHeight="1" x14ac:dyDescent="0.15"/>
    <row r="60" spans="1:9" ht="12.75" customHeight="1" x14ac:dyDescent="0.15"/>
    <row r="61" spans="1:9" ht="12.75" customHeight="1" x14ac:dyDescent="0.15"/>
    <row r="62" spans="1:9" ht="12.75" customHeight="1" x14ac:dyDescent="0.15"/>
    <row r="63" spans="1:9" ht="12.75" customHeight="1" x14ac:dyDescent="0.15"/>
    <row r="64" spans="1:9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</sheetData>
  <mergeCells count="2">
    <mergeCell ref="A1:D1"/>
    <mergeCell ref="A2:D2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0"/>
  <sheetViews>
    <sheetView workbookViewId="0"/>
  </sheetViews>
  <sheetFormatPr baseColWidth="10" defaultColWidth="12.6640625" defaultRowHeight="15" customHeight="1" x14ac:dyDescent="0.15"/>
  <cols>
    <col min="1" max="26" width="10" customWidth="1"/>
  </cols>
  <sheetData>
    <row r="1" spans="1:9" ht="12.75" customHeight="1" x14ac:dyDescent="0.15">
      <c r="A1" s="8" t="s">
        <v>42</v>
      </c>
    </row>
    <row r="2" spans="1:9" ht="13.5" customHeight="1" x14ac:dyDescent="0.15"/>
    <row r="3" spans="1:9" ht="12.75" customHeight="1" x14ac:dyDescent="0.15">
      <c r="A3" s="18" t="s">
        <v>43</v>
      </c>
      <c r="B3" s="19"/>
    </row>
    <row r="4" spans="1:9" ht="12.75" customHeight="1" x14ac:dyDescent="0.15">
      <c r="A4" s="7" t="s">
        <v>44</v>
      </c>
      <c r="B4" s="7">
        <v>7.3531660154297324E-2</v>
      </c>
    </row>
    <row r="5" spans="1:9" ht="12.75" customHeight="1" x14ac:dyDescent="0.15">
      <c r="A5" s="7" t="s">
        <v>45</v>
      </c>
      <c r="B5" s="7">
        <v>5.4069050450470764E-3</v>
      </c>
    </row>
    <row r="6" spans="1:9" ht="12.75" customHeight="1" x14ac:dyDescent="0.15">
      <c r="A6" s="7" t="s">
        <v>46</v>
      </c>
      <c r="B6" s="7">
        <v>-3.9801871998359876E-2</v>
      </c>
    </row>
    <row r="7" spans="1:9" ht="12.75" customHeight="1" x14ac:dyDescent="0.15">
      <c r="A7" s="7" t="s">
        <v>47</v>
      </c>
      <c r="B7" s="7">
        <v>9.4126438610745947E-2</v>
      </c>
    </row>
    <row r="8" spans="1:9" ht="13.5" customHeight="1" x14ac:dyDescent="0.15">
      <c r="A8" s="14" t="s">
        <v>48</v>
      </c>
      <c r="B8" s="14">
        <v>24</v>
      </c>
    </row>
    <row r="9" spans="1:9" ht="12.75" customHeight="1" x14ac:dyDescent="0.15"/>
    <row r="10" spans="1:9" ht="13.5" customHeight="1" x14ac:dyDescent="0.15">
      <c r="A10" s="8" t="s">
        <v>49</v>
      </c>
    </row>
    <row r="11" spans="1:9" ht="12.75" customHeight="1" x14ac:dyDescent="0.15">
      <c r="A11" s="13"/>
      <c r="B11" s="13" t="s">
        <v>50</v>
      </c>
      <c r="C11" s="13" t="s">
        <v>51</v>
      </c>
      <c r="D11" s="13" t="s">
        <v>52</v>
      </c>
      <c r="E11" s="13" t="s">
        <v>53</v>
      </c>
      <c r="F11" s="13" t="s">
        <v>54</v>
      </c>
    </row>
    <row r="12" spans="1:9" ht="12.75" customHeight="1" x14ac:dyDescent="0.15">
      <c r="A12" s="7" t="s">
        <v>55</v>
      </c>
      <c r="B12" s="7">
        <v>1</v>
      </c>
      <c r="C12" s="7">
        <v>1.0596177813978203E-3</v>
      </c>
      <c r="D12" s="7">
        <v>1.0596177813978203E-3</v>
      </c>
      <c r="E12" s="7">
        <v>0.11959856909767029</v>
      </c>
      <c r="F12" s="7">
        <v>0.7327555021580896</v>
      </c>
    </row>
    <row r="13" spans="1:9" ht="12.75" customHeight="1" x14ac:dyDescent="0.15">
      <c r="A13" s="7" t="s">
        <v>56</v>
      </c>
      <c r="B13" s="7">
        <v>22</v>
      </c>
      <c r="C13" s="7">
        <v>0.19491530180193553</v>
      </c>
      <c r="D13" s="7">
        <v>8.8597864455425245E-3</v>
      </c>
      <c r="E13" s="7"/>
      <c r="F13" s="7"/>
    </row>
    <row r="14" spans="1:9" ht="13.5" customHeight="1" x14ac:dyDescent="0.15">
      <c r="A14" s="14" t="s">
        <v>57</v>
      </c>
      <c r="B14" s="14">
        <v>23</v>
      </c>
      <c r="C14" s="14">
        <v>0.19597491958333335</v>
      </c>
      <c r="D14" s="14"/>
      <c r="E14" s="14"/>
      <c r="F14" s="14"/>
    </row>
    <row r="15" spans="1:9" ht="13.5" customHeight="1" x14ac:dyDescent="0.15"/>
    <row r="16" spans="1:9" ht="12.75" customHeight="1" x14ac:dyDescent="0.15">
      <c r="A16" s="13"/>
      <c r="B16" s="13" t="s">
        <v>58</v>
      </c>
      <c r="C16" s="13" t="s">
        <v>47</v>
      </c>
      <c r="D16" s="13" t="s">
        <v>59</v>
      </c>
      <c r="E16" s="13" t="s">
        <v>60</v>
      </c>
      <c r="F16" s="13" t="s">
        <v>61</v>
      </c>
      <c r="G16" s="13" t="s">
        <v>62</v>
      </c>
      <c r="H16" s="13" t="s">
        <v>63</v>
      </c>
      <c r="I16" s="13" t="s">
        <v>64</v>
      </c>
    </row>
    <row r="17" spans="1:9" ht="12.75" customHeight="1" x14ac:dyDescent="0.15">
      <c r="A17" s="7" t="s">
        <v>65</v>
      </c>
      <c r="B17" s="7">
        <v>-2.4278716210412783E-2</v>
      </c>
      <c r="C17" s="7">
        <v>1.9779398321450876E-2</v>
      </c>
      <c r="D17" s="7">
        <v>-1.2274749623744807</v>
      </c>
      <c r="E17" s="7">
        <v>0.23261696887533795</v>
      </c>
      <c r="F17" s="7">
        <v>-6.5298677688615844E-2</v>
      </c>
      <c r="G17" s="7">
        <v>1.6741245267790285E-2</v>
      </c>
      <c r="H17" s="7">
        <v>-6.5298677688615844E-2</v>
      </c>
      <c r="I17" s="7">
        <v>1.6741245267790285E-2</v>
      </c>
    </row>
    <row r="18" spans="1:9" ht="13.5" customHeight="1" x14ac:dyDescent="0.15">
      <c r="A18" s="14" t="s">
        <v>66</v>
      </c>
      <c r="B18" s="14">
        <v>0.14735143253933089</v>
      </c>
      <c r="C18" s="14">
        <v>0.4260802172541604</v>
      </c>
      <c r="D18" s="14">
        <v>0.34583026052916821</v>
      </c>
      <c r="E18" s="14">
        <v>0.73275550215808749</v>
      </c>
      <c r="F18" s="14">
        <v>-0.73628485479076855</v>
      </c>
      <c r="G18" s="14">
        <v>1.0309877198694304</v>
      </c>
      <c r="H18" s="14">
        <v>-0.73628485479076855</v>
      </c>
      <c r="I18" s="14">
        <v>1.0309877198694304</v>
      </c>
    </row>
    <row r="19" spans="1:9" ht="12.75" customHeight="1" x14ac:dyDescent="0.15"/>
    <row r="20" spans="1:9" ht="12.75" customHeight="1" x14ac:dyDescent="0.15"/>
    <row r="21" spans="1:9" ht="12.75" customHeight="1" x14ac:dyDescent="0.15"/>
    <row r="22" spans="1:9" ht="12.75" customHeight="1" x14ac:dyDescent="0.15"/>
    <row r="23" spans="1:9" ht="12.75" customHeight="1" x14ac:dyDescent="0.15"/>
    <row r="24" spans="1:9" ht="12.75" customHeight="1" x14ac:dyDescent="0.15"/>
    <row r="25" spans="1:9" ht="12.75" customHeight="1" x14ac:dyDescent="0.15"/>
    <row r="26" spans="1:9" ht="12.75" customHeight="1" x14ac:dyDescent="0.15"/>
    <row r="27" spans="1:9" ht="12.75" customHeight="1" x14ac:dyDescent="0.15"/>
    <row r="28" spans="1:9" ht="12.75" customHeight="1" x14ac:dyDescent="0.15"/>
    <row r="29" spans="1:9" ht="12.75" customHeight="1" x14ac:dyDescent="0.15"/>
    <row r="30" spans="1:9" ht="12.75" customHeight="1" x14ac:dyDescent="0.15"/>
    <row r="31" spans="1:9" ht="12.75" customHeight="1" x14ac:dyDescent="0.15"/>
    <row r="32" spans="1:9" ht="12.75" customHeight="1" x14ac:dyDescent="0.15"/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mergeCells count="1">
    <mergeCell ref="A3:B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0"/>
  <sheetViews>
    <sheetView workbookViewId="0"/>
  </sheetViews>
  <sheetFormatPr baseColWidth="10" defaultColWidth="12.6640625" defaultRowHeight="15" customHeight="1" x14ac:dyDescent="0.15"/>
  <cols>
    <col min="1" max="26" width="10" customWidth="1"/>
  </cols>
  <sheetData>
    <row r="1" spans="1:9" ht="12.75" customHeight="1" x14ac:dyDescent="0.15">
      <c r="A1" s="8" t="s">
        <v>42</v>
      </c>
    </row>
    <row r="2" spans="1:9" ht="13.5" customHeight="1" x14ac:dyDescent="0.15"/>
    <row r="3" spans="1:9" ht="12.75" customHeight="1" x14ac:dyDescent="0.15">
      <c r="A3" s="18" t="s">
        <v>43</v>
      </c>
      <c r="B3" s="19"/>
    </row>
    <row r="4" spans="1:9" ht="12.75" customHeight="1" x14ac:dyDescent="0.15">
      <c r="A4" s="7" t="s">
        <v>44</v>
      </c>
      <c r="B4" s="7">
        <v>0.65616976628933044</v>
      </c>
    </row>
    <row r="5" spans="1:9" ht="12.75" customHeight="1" x14ac:dyDescent="0.15">
      <c r="A5" s="7" t="s">
        <v>45</v>
      </c>
      <c r="B5" s="7">
        <v>0.43055876219219458</v>
      </c>
    </row>
    <row r="6" spans="1:9" ht="12.75" customHeight="1" x14ac:dyDescent="0.15">
      <c r="A6" s="7" t="s">
        <v>46</v>
      </c>
      <c r="B6" s="7">
        <v>0.40467506956456706</v>
      </c>
    </row>
    <row r="7" spans="1:9" ht="12.75" customHeight="1" x14ac:dyDescent="0.15">
      <c r="A7" s="7" t="s">
        <v>47</v>
      </c>
      <c r="B7" s="7">
        <v>6.3012602852609859E-2</v>
      </c>
    </row>
    <row r="8" spans="1:9" ht="13.5" customHeight="1" x14ac:dyDescent="0.15">
      <c r="A8" s="14" t="s">
        <v>48</v>
      </c>
      <c r="B8" s="14">
        <v>24</v>
      </c>
    </row>
    <row r="9" spans="1:9" ht="12.75" customHeight="1" x14ac:dyDescent="0.15"/>
    <row r="10" spans="1:9" ht="13.5" customHeight="1" x14ac:dyDescent="0.15">
      <c r="A10" s="8" t="s">
        <v>49</v>
      </c>
    </row>
    <row r="11" spans="1:9" ht="12.75" customHeight="1" x14ac:dyDescent="0.15">
      <c r="A11" s="13"/>
      <c r="B11" s="13" t="s">
        <v>50</v>
      </c>
      <c r="C11" s="13" t="s">
        <v>51</v>
      </c>
      <c r="D11" s="13" t="s">
        <v>52</v>
      </c>
      <c r="E11" s="13" t="s">
        <v>53</v>
      </c>
      <c r="F11" s="13" t="s">
        <v>54</v>
      </c>
    </row>
    <row r="12" spans="1:9" ht="12.75" customHeight="1" x14ac:dyDescent="0.15">
      <c r="A12" s="7" t="s">
        <v>55</v>
      </c>
      <c r="B12" s="7">
        <v>1</v>
      </c>
      <c r="C12" s="7">
        <v>6.6048207648263815E-2</v>
      </c>
      <c r="D12" s="7">
        <v>6.6048207648263815E-2</v>
      </c>
      <c r="E12" s="7">
        <v>16.63436389800999</v>
      </c>
      <c r="F12" s="7">
        <v>4.980217145095343E-4</v>
      </c>
    </row>
    <row r="13" spans="1:9" ht="12.75" customHeight="1" x14ac:dyDescent="0.15">
      <c r="A13" s="7" t="s">
        <v>56</v>
      </c>
      <c r="B13" s="7">
        <v>22</v>
      </c>
      <c r="C13" s="7">
        <v>8.7352938601736194E-2</v>
      </c>
      <c r="D13" s="7">
        <v>3.970588118260736E-3</v>
      </c>
      <c r="E13" s="7"/>
      <c r="F13" s="7"/>
    </row>
    <row r="14" spans="1:9" ht="13.5" customHeight="1" x14ac:dyDescent="0.15">
      <c r="A14" s="14" t="s">
        <v>57</v>
      </c>
      <c r="B14" s="14">
        <v>23</v>
      </c>
      <c r="C14" s="14">
        <v>0.15340114625000001</v>
      </c>
      <c r="D14" s="14"/>
      <c r="E14" s="14"/>
      <c r="F14" s="14"/>
    </row>
    <row r="15" spans="1:9" ht="13.5" customHeight="1" x14ac:dyDescent="0.15"/>
    <row r="16" spans="1:9" ht="12.75" customHeight="1" x14ac:dyDescent="0.15">
      <c r="A16" s="13"/>
      <c r="B16" s="13" t="s">
        <v>58</v>
      </c>
      <c r="C16" s="13" t="s">
        <v>47</v>
      </c>
      <c r="D16" s="13" t="s">
        <v>59</v>
      </c>
      <c r="E16" s="13" t="s">
        <v>60</v>
      </c>
      <c r="F16" s="13" t="s">
        <v>61</v>
      </c>
      <c r="G16" s="13" t="s">
        <v>62</v>
      </c>
      <c r="H16" s="13" t="s">
        <v>63</v>
      </c>
      <c r="I16" s="13" t="s">
        <v>64</v>
      </c>
    </row>
    <row r="17" spans="1:9" ht="12.75" customHeight="1" x14ac:dyDescent="0.15">
      <c r="A17" s="7" t="s">
        <v>65</v>
      </c>
      <c r="B17" s="7">
        <v>-1.9538429844274837E-2</v>
      </c>
      <c r="C17" s="7">
        <v>1.3241246449866982E-2</v>
      </c>
      <c r="D17" s="7">
        <v>-1.4755733093745955</v>
      </c>
      <c r="E17" s="7">
        <v>0.15422817437273534</v>
      </c>
      <c r="F17" s="7">
        <v>-4.6999094242133763E-2</v>
      </c>
      <c r="G17" s="7">
        <v>7.922234553584092E-3</v>
      </c>
      <c r="H17" s="7">
        <v>-4.6999094242133763E-2</v>
      </c>
      <c r="I17" s="7">
        <v>7.922234553584092E-3</v>
      </c>
    </row>
    <row r="18" spans="1:9" ht="13.5" customHeight="1" x14ac:dyDescent="0.15">
      <c r="A18" s="14" t="s">
        <v>66</v>
      </c>
      <c r="B18" s="14">
        <v>1.1633496457392143</v>
      </c>
      <c r="C18" s="14">
        <v>0.28523785569132309</v>
      </c>
      <c r="D18" s="14">
        <v>4.0785247207795612</v>
      </c>
      <c r="E18" s="14">
        <v>4.98021714509533E-4</v>
      </c>
      <c r="F18" s="14">
        <v>0.57180253887428423</v>
      </c>
      <c r="G18" s="14">
        <v>1.7548967526041443</v>
      </c>
      <c r="H18" s="14">
        <v>0.57180253887428423</v>
      </c>
      <c r="I18" s="14">
        <v>1.7548967526041443</v>
      </c>
    </row>
    <row r="19" spans="1:9" ht="12.75" customHeight="1" x14ac:dyDescent="0.15"/>
    <row r="20" spans="1:9" ht="12.75" customHeight="1" x14ac:dyDescent="0.15"/>
    <row r="21" spans="1:9" ht="12.75" customHeight="1" x14ac:dyDescent="0.15"/>
    <row r="22" spans="1:9" ht="12.75" customHeight="1" x14ac:dyDescent="0.15"/>
    <row r="23" spans="1:9" ht="12.75" customHeight="1" x14ac:dyDescent="0.15"/>
    <row r="24" spans="1:9" ht="12.75" customHeight="1" x14ac:dyDescent="0.15"/>
    <row r="25" spans="1:9" ht="12.75" customHeight="1" x14ac:dyDescent="0.15"/>
    <row r="26" spans="1:9" ht="12.75" customHeight="1" x14ac:dyDescent="0.15"/>
    <row r="27" spans="1:9" ht="12.75" customHeight="1" x14ac:dyDescent="0.15"/>
    <row r="28" spans="1:9" ht="12.75" customHeight="1" x14ac:dyDescent="0.15"/>
    <row r="29" spans="1:9" ht="12.75" customHeight="1" x14ac:dyDescent="0.15"/>
    <row r="30" spans="1:9" ht="12.75" customHeight="1" x14ac:dyDescent="0.15"/>
    <row r="31" spans="1:9" ht="12.75" customHeight="1" x14ac:dyDescent="0.15"/>
    <row r="32" spans="1:9" ht="12.75" customHeight="1" x14ac:dyDescent="0.15"/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mergeCells count="1">
    <mergeCell ref="A3:B3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00"/>
  <sheetViews>
    <sheetView workbookViewId="0"/>
  </sheetViews>
  <sheetFormatPr baseColWidth="10" defaultColWidth="12.6640625" defaultRowHeight="15" customHeight="1" x14ac:dyDescent="0.15"/>
  <cols>
    <col min="1" max="26" width="10" customWidth="1"/>
  </cols>
  <sheetData>
    <row r="1" spans="1:9" ht="12.75" customHeight="1" x14ac:dyDescent="0.15">
      <c r="A1" s="8" t="s">
        <v>42</v>
      </c>
    </row>
    <row r="2" spans="1:9" ht="13.5" customHeight="1" x14ac:dyDescent="0.15"/>
    <row r="3" spans="1:9" ht="12.75" customHeight="1" x14ac:dyDescent="0.15">
      <c r="A3" s="18" t="s">
        <v>43</v>
      </c>
      <c r="B3" s="19"/>
    </row>
    <row r="4" spans="1:9" ht="12.75" customHeight="1" x14ac:dyDescent="0.15">
      <c r="A4" s="7" t="s">
        <v>44</v>
      </c>
      <c r="B4" s="7">
        <v>1</v>
      </c>
    </row>
    <row r="5" spans="1:9" ht="12.75" customHeight="1" x14ac:dyDescent="0.15">
      <c r="A5" s="7" t="s">
        <v>45</v>
      </c>
      <c r="B5" s="7">
        <v>1</v>
      </c>
    </row>
    <row r="6" spans="1:9" ht="12.75" customHeight="1" x14ac:dyDescent="0.15">
      <c r="A6" s="7" t="s">
        <v>46</v>
      </c>
      <c r="B6" s="7">
        <v>1</v>
      </c>
    </row>
    <row r="7" spans="1:9" ht="12.75" customHeight="1" x14ac:dyDescent="0.15">
      <c r="A7" s="7" t="s">
        <v>47</v>
      </c>
      <c r="B7" s="7">
        <v>1.8860759239485649E-34</v>
      </c>
    </row>
    <row r="8" spans="1:9" ht="13.5" customHeight="1" x14ac:dyDescent="0.15">
      <c r="A8" s="14" t="s">
        <v>48</v>
      </c>
      <c r="B8" s="14">
        <v>24</v>
      </c>
    </row>
    <row r="9" spans="1:9" ht="12.75" customHeight="1" x14ac:dyDescent="0.15"/>
    <row r="10" spans="1:9" ht="13.5" customHeight="1" x14ac:dyDescent="0.15">
      <c r="A10" s="8" t="s">
        <v>49</v>
      </c>
    </row>
    <row r="11" spans="1:9" ht="12.75" customHeight="1" x14ac:dyDescent="0.15">
      <c r="A11" s="13"/>
      <c r="B11" s="13" t="s">
        <v>50</v>
      </c>
      <c r="C11" s="13" t="s">
        <v>51</v>
      </c>
      <c r="D11" s="13" t="s">
        <v>52</v>
      </c>
      <c r="E11" s="13" t="s">
        <v>53</v>
      </c>
      <c r="F11" s="13" t="s">
        <v>54</v>
      </c>
    </row>
    <row r="12" spans="1:9" ht="12.75" customHeight="1" x14ac:dyDescent="0.15">
      <c r="A12" s="7" t="s">
        <v>55</v>
      </c>
      <c r="B12" s="7">
        <v>1</v>
      </c>
      <c r="C12" s="7">
        <v>1.8055593228630336E-35</v>
      </c>
      <c r="D12" s="7">
        <v>1.8055593228630336E-35</v>
      </c>
      <c r="E12" s="7">
        <v>5.07567048228358E+32</v>
      </c>
      <c r="F12" s="7">
        <v>0</v>
      </c>
    </row>
    <row r="13" spans="1:9" ht="12.75" customHeight="1" x14ac:dyDescent="0.15">
      <c r="A13" s="7" t="s">
        <v>56</v>
      </c>
      <c r="B13" s="7">
        <v>22</v>
      </c>
      <c r="C13" s="7">
        <v>7.8260212599765532E-67</v>
      </c>
      <c r="D13" s="7">
        <v>3.5572823908984331E-68</v>
      </c>
      <c r="E13" s="7"/>
      <c r="F13" s="7"/>
    </row>
    <row r="14" spans="1:9" ht="13.5" customHeight="1" x14ac:dyDescent="0.15">
      <c r="A14" s="14" t="s">
        <v>57</v>
      </c>
      <c r="B14" s="14">
        <v>23</v>
      </c>
      <c r="C14" s="14">
        <v>1.8055593228630336E-35</v>
      </c>
      <c r="D14" s="14"/>
      <c r="E14" s="14"/>
      <c r="F14" s="14"/>
    </row>
    <row r="15" spans="1:9" ht="13.5" customHeight="1" x14ac:dyDescent="0.15"/>
    <row r="16" spans="1:9" ht="12.75" customHeight="1" x14ac:dyDescent="0.15">
      <c r="A16" s="13"/>
      <c r="B16" s="13" t="s">
        <v>58</v>
      </c>
      <c r="C16" s="13" t="s">
        <v>47</v>
      </c>
      <c r="D16" s="13" t="s">
        <v>59</v>
      </c>
      <c r="E16" s="13" t="s">
        <v>60</v>
      </c>
      <c r="F16" s="13" t="s">
        <v>61</v>
      </c>
      <c r="G16" s="13" t="s">
        <v>62</v>
      </c>
      <c r="H16" s="13" t="s">
        <v>63</v>
      </c>
      <c r="I16" s="13" t="s">
        <v>64</v>
      </c>
    </row>
    <row r="17" spans="1:9" ht="12.75" customHeight="1" x14ac:dyDescent="0.15">
      <c r="A17" s="7" t="s">
        <v>65</v>
      </c>
      <c r="B17" s="7">
        <v>3.0000000000000009E-3</v>
      </c>
      <c r="C17" s="7">
        <v>3.9633335240220361E-35</v>
      </c>
      <c r="D17" s="7">
        <v>7.5693856745005065E+31</v>
      </c>
      <c r="E17" s="7">
        <v>0</v>
      </c>
      <c r="F17" s="7">
        <v>3.0000000000000009E-3</v>
      </c>
      <c r="G17" s="7">
        <v>3.0000000000000009E-3</v>
      </c>
      <c r="H17" s="7">
        <v>3.0000000000000009E-3</v>
      </c>
      <c r="I17" s="7">
        <v>3.0000000000000009E-3</v>
      </c>
    </row>
    <row r="18" spans="1:9" ht="13.5" customHeight="1" x14ac:dyDescent="0.15">
      <c r="A18" s="14" t="s">
        <v>66</v>
      </c>
      <c r="B18" s="14">
        <v>-1.2020468304394858E-33</v>
      </c>
      <c r="C18" s="14">
        <v>8.5376611640132809E-34</v>
      </c>
      <c r="D18" s="14">
        <v>-1.4079345705427857</v>
      </c>
      <c r="E18" s="14">
        <v>0.17312478955274482</v>
      </c>
      <c r="F18" s="14">
        <v>-2.9726493855332138E-33</v>
      </c>
      <c r="G18" s="14">
        <v>5.6855572465424204E-34</v>
      </c>
      <c r="H18" s="14">
        <v>-2.9726493855332138E-33</v>
      </c>
      <c r="I18" s="14">
        <v>5.6855572465424204E-34</v>
      </c>
    </row>
    <row r="19" spans="1:9" ht="12.75" customHeight="1" x14ac:dyDescent="0.15"/>
    <row r="20" spans="1:9" ht="12.75" customHeight="1" x14ac:dyDescent="0.15"/>
    <row r="21" spans="1:9" ht="12.75" customHeight="1" x14ac:dyDescent="0.15"/>
    <row r="22" spans="1:9" ht="12.75" customHeight="1" x14ac:dyDescent="0.15"/>
    <row r="23" spans="1:9" ht="12.75" customHeight="1" x14ac:dyDescent="0.15"/>
    <row r="24" spans="1:9" ht="12.75" customHeight="1" x14ac:dyDescent="0.15"/>
    <row r="25" spans="1:9" ht="12.75" customHeight="1" x14ac:dyDescent="0.15"/>
    <row r="26" spans="1:9" ht="12.75" customHeight="1" x14ac:dyDescent="0.15"/>
    <row r="27" spans="1:9" ht="12.75" customHeight="1" x14ac:dyDescent="0.15"/>
    <row r="28" spans="1:9" ht="12.75" customHeight="1" x14ac:dyDescent="0.15"/>
    <row r="29" spans="1:9" ht="12.75" customHeight="1" x14ac:dyDescent="0.15"/>
    <row r="30" spans="1:9" ht="12.75" customHeight="1" x14ac:dyDescent="0.15"/>
    <row r="31" spans="1:9" ht="12.75" customHeight="1" x14ac:dyDescent="0.15"/>
    <row r="32" spans="1:9" ht="12.75" customHeight="1" x14ac:dyDescent="0.15"/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mergeCells count="1">
    <mergeCell ref="A3:B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Main Table 1</vt:lpstr>
      <vt:lpstr>V,C</vt:lpstr>
      <vt:lpstr>V,B</vt:lpstr>
      <vt:lpstr>V.RF</vt:lpstr>
      <vt:lpstr>'Main Table 1'!solver_opt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Allston, Malika</dc:creator>
  <cp:lastModifiedBy>Derrick Teo</cp:lastModifiedBy>
  <dcterms:created xsi:type="dcterms:W3CDTF">2010-12-15T11:27:55Z</dcterms:created>
  <dcterms:modified xsi:type="dcterms:W3CDTF">2025-03-30T07:58:15Z</dcterms:modified>
</cp:coreProperties>
</file>