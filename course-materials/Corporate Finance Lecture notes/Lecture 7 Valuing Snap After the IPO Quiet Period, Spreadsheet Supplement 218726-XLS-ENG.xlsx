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notosoehardjo\Desktop\"/>
    </mc:Choice>
  </mc:AlternateContent>
  <bookViews>
    <workbookView xWindow="0" yWindow="0" windowWidth="28800" windowHeight="11025"/>
  </bookViews>
  <sheets>
    <sheet name="Copyright" sheetId="16" r:id="rId1"/>
    <sheet name="Ex #2 Rev Model" sheetId="11" r:id="rId2"/>
    <sheet name="Ex #3 Rev vs Comps" sheetId="10" r:id="rId3"/>
    <sheet name="Ex #4 Inc-Statement" sheetId="1" r:id="rId4"/>
    <sheet name="Ex #5 Quarterly Fin" sheetId="3" r:id="rId5"/>
    <sheet name="Ex #6 Balance Sheet" sheetId="2" r:id="rId6"/>
    <sheet name="Ex #7 Snap Ratings Over Time" sheetId="8" r:id="rId7"/>
    <sheet name="Ex #8 Analyst Recs Rev" sheetId="17" r:id="rId8"/>
    <sheet name="Ex #9 Analyst Forecasts" sheetId="14" r:id="rId9"/>
    <sheet name="Ex #10 FCF &amp; Assumptions" sheetId="4" r:id="rId10"/>
    <sheet name="Ex #11 MS WACCs" sheetId="9" r:id="rId11"/>
    <sheet name="Ex #12 MS Ratings Universe" sheetId="7" r:id="rId1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N34" i="17" l="1"/>
  <c r="N14" i="17"/>
  <c r="D45" i="17"/>
  <c r="D44" i="17"/>
  <c r="D43" i="17"/>
  <c r="D42" i="17"/>
  <c r="D41" i="17"/>
  <c r="D40" i="17"/>
  <c r="D39" i="17"/>
  <c r="D38" i="17"/>
  <c r="D37" i="17"/>
  <c r="D35" i="17"/>
  <c r="D32" i="17"/>
  <c r="D31" i="17"/>
  <c r="D29" i="17"/>
  <c r="D28" i="17"/>
  <c r="F34" i="14" l="1"/>
  <c r="E34" i="14"/>
  <c r="H34" i="14"/>
  <c r="J34" i="14"/>
  <c r="I34" i="14"/>
  <c r="G34" i="14"/>
  <c r="D34" i="14"/>
  <c r="D33" i="14"/>
  <c r="D32" i="14"/>
  <c r="D31" i="14"/>
  <c r="D30" i="14"/>
  <c r="D35" i="14" l="1"/>
  <c r="H33" i="14" l="1"/>
  <c r="H32" i="14"/>
  <c r="H31" i="14"/>
  <c r="H30" i="14"/>
  <c r="H35" i="14" s="1"/>
  <c r="J33" i="14"/>
  <c r="I33" i="14"/>
  <c r="J32" i="14"/>
  <c r="I32" i="14"/>
  <c r="J31" i="14"/>
  <c r="I31" i="14"/>
  <c r="J30" i="14"/>
  <c r="J35" i="14" s="1"/>
  <c r="I30" i="14"/>
  <c r="I35" i="14" s="1"/>
  <c r="G33" i="14"/>
  <c r="G32" i="14"/>
  <c r="G31" i="14"/>
  <c r="G30" i="14"/>
  <c r="G35" i="14" s="1"/>
  <c r="E33" i="14"/>
  <c r="E32" i="14"/>
  <c r="E31" i="14"/>
  <c r="E30" i="14"/>
  <c r="E35" i="14" s="1"/>
  <c r="F33" i="14"/>
  <c r="F32" i="14"/>
  <c r="F31" i="14"/>
  <c r="F30" i="14"/>
  <c r="F35" i="14" s="1"/>
  <c r="F12" i="10" l="1"/>
  <c r="E12" i="10"/>
  <c r="D12" i="10"/>
  <c r="C12" i="10"/>
  <c r="E13" i="11"/>
  <c r="C13" i="11"/>
  <c r="D13" i="10" l="1"/>
  <c r="E13" i="10"/>
  <c r="F13" i="10"/>
  <c r="C13" i="10"/>
  <c r="C25" i="9" l="1"/>
  <c r="C24" i="9"/>
  <c r="F25" i="9"/>
  <c r="E25" i="9"/>
  <c r="O11" i="4" l="1"/>
  <c r="O9" i="4"/>
  <c r="C20" i="3" l="1"/>
  <c r="C19" i="3"/>
  <c r="C18" i="3"/>
  <c r="C17" i="3"/>
  <c r="E16" i="3"/>
  <c r="C16" i="3"/>
  <c r="E15" i="3"/>
  <c r="C15" i="3"/>
  <c r="E14" i="3"/>
  <c r="C14" i="3"/>
  <c r="E13" i="3"/>
  <c r="C13" i="3"/>
  <c r="E12" i="3"/>
  <c r="C12" i="3"/>
  <c r="E11" i="3"/>
  <c r="C11" i="3"/>
  <c r="E10" i="3"/>
  <c r="C10" i="3"/>
  <c r="F24" i="9" l="1"/>
  <c r="E24" i="9"/>
  <c r="G12" i="7" l="1"/>
  <c r="G11" i="7"/>
  <c r="G10" i="7"/>
  <c r="G9" i="7"/>
  <c r="E13" i="7"/>
  <c r="F11" i="7" s="1"/>
  <c r="C9" i="7"/>
  <c r="B13" i="7"/>
  <c r="C12" i="7" s="1"/>
  <c r="C10" i="7" l="1"/>
  <c r="C11" i="7"/>
  <c r="F12" i="7"/>
  <c r="F9" i="7"/>
  <c r="C13" i="7"/>
  <c r="F10" i="7"/>
  <c r="F13" i="7" l="1"/>
  <c r="K18" i="4"/>
  <c r="J18" i="4"/>
  <c r="N11" i="4"/>
  <c r="M11" i="4"/>
  <c r="L11" i="4"/>
  <c r="K11" i="4"/>
  <c r="J11" i="4"/>
  <c r="I11" i="4"/>
  <c r="H11" i="4"/>
  <c r="G11" i="4"/>
  <c r="F11" i="4"/>
  <c r="E11" i="4"/>
  <c r="L14" i="3"/>
  <c r="L13" i="3"/>
  <c r="L12" i="3"/>
  <c r="L11" i="3"/>
  <c r="L10" i="3"/>
</calcChain>
</file>

<file path=xl/sharedStrings.xml><?xml version="1.0" encoding="utf-8"?>
<sst xmlns="http://schemas.openxmlformats.org/spreadsheetml/2006/main" count="418" uniqueCount="281">
  <si>
    <t>Revenue</t>
  </si>
  <si>
    <t>Costs and Expenses</t>
  </si>
  <si>
    <t>Cost of Revenue</t>
  </si>
  <si>
    <t>Assets</t>
  </si>
  <si>
    <t>Current Assets</t>
  </si>
  <si>
    <t>Accounts Rec.</t>
  </si>
  <si>
    <t>Prepaid Expenses</t>
  </si>
  <si>
    <t>2Q</t>
  </si>
  <si>
    <t>3Q</t>
  </si>
  <si>
    <t>1Q</t>
  </si>
  <si>
    <t>Daily</t>
  </si>
  <si>
    <t>Active</t>
  </si>
  <si>
    <t>(ARPU)</t>
  </si>
  <si>
    <t xml:space="preserve">Users </t>
  </si>
  <si>
    <t>(DAU)</t>
  </si>
  <si>
    <t>Cost of</t>
  </si>
  <si>
    <t>Operating</t>
  </si>
  <si>
    <t>Loss</t>
  </si>
  <si>
    <t>Per User</t>
  </si>
  <si>
    <t>Global</t>
  </si>
  <si>
    <t>N. America</t>
  </si>
  <si>
    <t>Avg. Rev.</t>
  </si>
  <si>
    <t>Gross</t>
  </si>
  <si>
    <t>Margin</t>
  </si>
  <si>
    <t>Growth</t>
  </si>
  <si>
    <t>in DAU</t>
  </si>
  <si>
    <t>Item</t>
  </si>
  <si>
    <t xml:space="preserve">Net Revenue </t>
  </si>
  <si>
    <t>Cash Flow Items</t>
  </si>
  <si>
    <t>Income Statement</t>
  </si>
  <si>
    <t>Date</t>
  </si>
  <si>
    <t>Cantor</t>
  </si>
  <si>
    <t>JP Morgan</t>
  </si>
  <si>
    <t>UBS</t>
  </si>
  <si>
    <t>Pivotal</t>
  </si>
  <si>
    <t>Report</t>
  </si>
  <si>
    <t>From</t>
  </si>
  <si>
    <t>Analyst(s)</t>
  </si>
  <si>
    <t>Writer</t>
  </si>
  <si>
    <t>Price</t>
  </si>
  <si>
    <t>Recom-</t>
  </si>
  <si>
    <t>Share</t>
  </si>
  <si>
    <t>Target</t>
  </si>
  <si>
    <t>mendation</t>
  </si>
  <si>
    <t>Rate</t>
  </si>
  <si>
    <t>WACC</t>
  </si>
  <si>
    <t>Morgan Stanley</t>
  </si>
  <si>
    <t>Buy</t>
  </si>
  <si>
    <t>Aegis Capital</t>
  </si>
  <si>
    <t>n/a</t>
  </si>
  <si>
    <t>Cantor Fitzgerald</t>
  </si>
  <si>
    <t>Underweight</t>
  </si>
  <si>
    <t>Cowen &amp; Co.</t>
  </si>
  <si>
    <t>Outperform</t>
  </si>
  <si>
    <t>Credit Suisse</t>
  </si>
  <si>
    <t>Deutsche Bank</t>
  </si>
  <si>
    <t>FBN Securities</t>
  </si>
  <si>
    <t>Perform</t>
  </si>
  <si>
    <t>Jefferies</t>
  </si>
  <si>
    <t>Neutral</t>
  </si>
  <si>
    <t>RBC Capital</t>
  </si>
  <si>
    <t>William Blair</t>
  </si>
  <si>
    <t>$25-$28</t>
  </si>
  <si>
    <t>Barclays</t>
  </si>
  <si>
    <t>JMP Securities</t>
  </si>
  <si>
    <t>Oppenheimber</t>
  </si>
  <si>
    <t>$21-$26</t>
  </si>
  <si>
    <t>Piper Jaffray</t>
  </si>
  <si>
    <t>Pivotal Research</t>
  </si>
  <si>
    <t>Sell</t>
  </si>
  <si>
    <t>Susquehanna</t>
  </si>
  <si>
    <t>Allen &amp; Co.</t>
  </si>
  <si>
    <t>Hold</t>
  </si>
  <si>
    <t>Citibank</t>
  </si>
  <si>
    <t>Total</t>
  </si>
  <si>
    <t>B of A/Merrill</t>
  </si>
  <si>
    <t>BMO Capital</t>
  </si>
  <si>
    <t>Lead Underwriters</t>
  </si>
  <si>
    <t>Other Underwriters (Co-Managers)</t>
  </si>
  <si>
    <t>Stifel, Nicolaus</t>
  </si>
  <si>
    <t>Analyst Firm &amp; Role</t>
  </si>
  <si>
    <t>Goldman Sachs</t>
  </si>
  <si>
    <t>Morningstar Equity</t>
  </si>
  <si>
    <t>Summit Redstone</t>
  </si>
  <si>
    <t>Overweight/Buy</t>
  </si>
  <si>
    <t>Equal-weight/Hold</t>
  </si>
  <si>
    <t>Underweight/Sell</t>
  </si>
  <si>
    <t>Rating Category</t>
  </si>
  <si>
    <t>Count</t>
  </si>
  <si>
    <t>Percent</t>
  </si>
  <si>
    <t>(All Ratings)</t>
  </si>
  <si>
    <t>Coverage Universe</t>
  </si>
  <si>
    <t>Rating</t>
  </si>
  <si>
    <t>Average</t>
  </si>
  <si>
    <t>March 2</t>
  </si>
  <si>
    <t>March 16</t>
  </si>
  <si>
    <t>March 26</t>
  </si>
  <si>
    <t>March 27</t>
  </si>
  <si>
    <t>Facebook</t>
  </si>
  <si>
    <t>Twitter</t>
  </si>
  <si>
    <t>Groupon</t>
  </si>
  <si>
    <t>Yelp</t>
  </si>
  <si>
    <t>Zynga</t>
  </si>
  <si>
    <t>Etsy</t>
  </si>
  <si>
    <t>Amazon</t>
  </si>
  <si>
    <t>GrubHub</t>
  </si>
  <si>
    <t>Alphabet</t>
  </si>
  <si>
    <t>Company</t>
  </si>
  <si>
    <t>Weekly</t>
  </si>
  <si>
    <t>1 Year</t>
  </si>
  <si>
    <t>2 Years</t>
  </si>
  <si>
    <t>Median</t>
  </si>
  <si>
    <t>Morgan Stanley Reports</t>
  </si>
  <si>
    <t>LinkedIn (a)</t>
  </si>
  <si>
    <t>Cost of Debt</t>
  </si>
  <si>
    <t>Cost of Equity</t>
  </si>
  <si>
    <t>Tax Rate</t>
  </si>
  <si>
    <t>Perpetual Growth Rate</t>
  </si>
  <si>
    <t>10-Year</t>
  </si>
  <si>
    <t>30-Year</t>
  </si>
  <si>
    <t>Stated WACC</t>
  </si>
  <si>
    <t>Needham &amp; Co.</t>
  </si>
  <si>
    <t>Underperform</t>
  </si>
  <si>
    <t>Nomura Instinet</t>
  </si>
  <si>
    <t>Reduce</t>
  </si>
  <si>
    <t>4Q16</t>
  </si>
  <si>
    <t>4Q15</t>
  </si>
  <si>
    <t>4Q14</t>
  </si>
  <si>
    <t>(Note a)</t>
  </si>
  <si>
    <t>Net loss</t>
  </si>
  <si>
    <t>Liabilities and Stockholders' Equity</t>
  </si>
  <si>
    <t>Current liabilities</t>
  </si>
  <si>
    <t>Accounts payable</t>
  </si>
  <si>
    <t>Other liabilities</t>
  </si>
  <si>
    <t>Stockholders' Equity</t>
  </si>
  <si>
    <t>Cash &amp; Securities</t>
  </si>
  <si>
    <t>Accrued exp. and other CL</t>
  </si>
  <si>
    <t>Property and Equipment, net</t>
  </si>
  <si>
    <t>Other Assets</t>
  </si>
  <si>
    <t>Goodwill and Intangibles</t>
  </si>
  <si>
    <t>Loss From Operations</t>
  </si>
  <si>
    <t>Total Costs and Expenses</t>
  </si>
  <si>
    <t>Other Income (Expense), net</t>
  </si>
  <si>
    <t>Loss Before Income Taxes</t>
  </si>
  <si>
    <t>Income Tax Benefit (Expense)</t>
  </si>
  <si>
    <t>Research and Development</t>
  </si>
  <si>
    <t>Sales and Marketing</t>
  </si>
  <si>
    <t>General and Administrative</t>
  </si>
  <si>
    <t>Net Interest Income</t>
  </si>
  <si>
    <t>in ARPU</t>
  </si>
  <si>
    <t>Quarterly Average (millions and dollars)</t>
  </si>
  <si>
    <t>Snap Inc.</t>
  </si>
  <si>
    <t>Financial Data ($ millions)</t>
  </si>
  <si>
    <t>Equity Betas to 3/1/17</t>
  </si>
  <si>
    <t>as % of</t>
  </si>
  <si>
    <t>All Ratings</t>
  </si>
  <si>
    <t>IB Clients</t>
  </si>
  <si>
    <t>Investment Banking (IB)</t>
  </si>
  <si>
    <t>Clients</t>
  </si>
  <si>
    <t>Equity Risk Premium</t>
  </si>
  <si>
    <t>Cash</t>
  </si>
  <si>
    <t>Debt at</t>
  </si>
  <si>
    <t>Value</t>
  </si>
  <si>
    <t>Equity at</t>
  </si>
  <si>
    <t>Market</t>
  </si>
  <si>
    <t>Book</t>
  </si>
  <si>
    <t>eBay</t>
  </si>
  <si>
    <t>Monness Crespi</t>
  </si>
  <si>
    <t>Snap Advertising Revenue Model</t>
  </si>
  <si>
    <t>2020E</t>
  </si>
  <si>
    <t>Notes</t>
  </si>
  <si>
    <t>Daily Average Users (DAU, in millions)</t>
  </si>
  <si>
    <t>User Base grows at 11% CAGR</t>
  </si>
  <si>
    <t>X  Hours per DAU per Day</t>
  </si>
  <si>
    <t>X  Ads per DAU per Hour</t>
  </si>
  <si>
    <t>Snap continues to grow ad load</t>
  </si>
  <si>
    <t>X  Average Pricing ($ per 1K impressions)</t>
  </si>
  <si>
    <t>Inventory scales and pricing falls</t>
  </si>
  <si>
    <t>X  365 Days per Year</t>
  </si>
  <si>
    <t>Advertising Revenue ($ mil)</t>
  </si>
  <si>
    <t>Avg. Revenue per DAU (ARPU)</t>
  </si>
  <si>
    <t>2016 Advertising Revenue Drivers</t>
  </si>
  <si>
    <t>Snap</t>
  </si>
  <si>
    <t>Instagram</t>
  </si>
  <si>
    <t>Financial Forecast ($ millions)</t>
  </si>
  <si>
    <t>Priceline Group</t>
  </si>
  <si>
    <t>Under-</t>
  </si>
  <si>
    <t>Analyst</t>
  </si>
  <si>
    <t>Analyst Ratings in Existence on Each Date</t>
  </si>
  <si>
    <t>Cowen &amp; Co</t>
  </si>
  <si>
    <t>Oppenheimer</t>
  </si>
  <si>
    <t>FBN</t>
  </si>
  <si>
    <t>Report Date</t>
  </si>
  <si>
    <t>DAU</t>
  </si>
  <si>
    <t>Maximum</t>
  </si>
  <si>
    <t>Minimum</t>
  </si>
  <si>
    <t>ARPU</t>
  </si>
  <si>
    <t>Free Cash</t>
  </si>
  <si>
    <t>Flow (FCF)</t>
  </si>
  <si>
    <t>Analyst Forecast for 2020</t>
  </si>
  <si>
    <t>Lead Managers</t>
  </si>
  <si>
    <t>Lead Managers (Book Runners)</t>
  </si>
  <si>
    <t>Other Underwriters</t>
  </si>
  <si>
    <t>Independent Firms</t>
  </si>
  <si>
    <t>Lead Underwriter</t>
  </si>
  <si>
    <t>none</t>
  </si>
  <si>
    <t>Financial Data on 12/31/16 ($mil)</t>
  </si>
  <si>
    <t>No research</t>
  </si>
  <si>
    <t>No report</t>
  </si>
  <si>
    <t>Future Leverage (D/V)</t>
  </si>
  <si>
    <t>Harvard Business School Case 218-095</t>
  </si>
  <si>
    <t>Discount</t>
  </si>
  <si>
    <t xml:space="preserve">TV </t>
  </si>
  <si>
    <t>Standard Deviation</t>
  </si>
  <si>
    <t>range</t>
  </si>
  <si>
    <t>Ad revenue grows at a 87% CAGR</t>
  </si>
  <si>
    <t>Total Liab. &amp; Shareholders' Equity</t>
  </si>
  <si>
    <t>Total Current Assets</t>
  </si>
  <si>
    <t>Total Assets</t>
  </si>
  <si>
    <t>Total Current Liabilities</t>
  </si>
  <si>
    <t>Total Liabilities</t>
  </si>
  <si>
    <t>Not-Rated</t>
  </si>
  <si>
    <t>Coverage of</t>
  </si>
  <si>
    <t>Free Cash Flow</t>
  </si>
  <si>
    <t>Adj. EBITDA Margin</t>
  </si>
  <si>
    <t>Adj. EBITDA (Note 1)</t>
  </si>
  <si>
    <t>TV Year (2026)</t>
  </si>
  <si>
    <t>Excess Cash ($ mil)</t>
  </si>
  <si>
    <t>Market Data (March 27, 2017)</t>
  </si>
  <si>
    <t>US Treasury Yields</t>
  </si>
  <si>
    <t>Morgan Stanley Valuation Assumptions</t>
  </si>
  <si>
    <t>Valuing Snap After the IPO Quiet Period (A)</t>
  </si>
  <si>
    <r>
      <rPr>
        <b/>
        <sz val="12"/>
        <color theme="1"/>
        <rFont val="Calibri"/>
        <family val="2"/>
        <scheme val="minor"/>
      </rPr>
      <t>Exhibit 2</t>
    </r>
    <r>
      <rPr>
        <sz val="12"/>
        <color theme="1"/>
        <rFont val="Calibri"/>
        <family val="2"/>
        <scheme val="minor"/>
      </rPr>
      <t>:  Snap Advertising Revenue Model, 2016 Actual vs. 2020 Expected</t>
    </r>
  </si>
  <si>
    <r>
      <rPr>
        <b/>
        <sz val="9"/>
        <color theme="1"/>
        <rFont val="Calibri"/>
        <family val="2"/>
        <scheme val="minor"/>
      </rPr>
      <t>Source:</t>
    </r>
    <r>
      <rPr>
        <sz val="9"/>
        <color theme="1"/>
        <rFont val="Calibri"/>
        <family val="2"/>
        <scheme val="minor"/>
      </rPr>
      <t xml:space="preserve">  Nowak, B., et al., “Crackle or Pop? Initiate OW, $28 PT,” Snap Inc. analyst report Exhibit 6 (p. 7), Morgan Stanley Research, 3/27/18.</t>
    </r>
  </si>
  <si>
    <r>
      <rPr>
        <b/>
        <sz val="12"/>
        <color theme="1"/>
        <rFont val="Calibri"/>
        <family val="2"/>
        <scheme val="minor"/>
      </rPr>
      <t>Exhibit 3</t>
    </r>
    <r>
      <rPr>
        <sz val="12"/>
        <color theme="1"/>
        <rFont val="Calibri"/>
        <family val="2"/>
        <scheme val="minor"/>
      </rPr>
      <t>:  Snap Advertising Revenue Model vs. Comparable Internet Firms in 2016</t>
    </r>
  </si>
  <si>
    <r>
      <rPr>
        <b/>
        <sz val="9"/>
        <color rgb="FF000000"/>
        <rFont val="Calibri"/>
        <family val="2"/>
        <scheme val="minor"/>
      </rPr>
      <t>Source:</t>
    </r>
    <r>
      <rPr>
        <sz val="9"/>
        <color rgb="FF000000"/>
        <rFont val="Calibri"/>
        <family val="2"/>
        <scheme val="minor"/>
      </rPr>
      <t xml:space="preserve">  Casewriter estimates using Exhibit 5 (p. 7) in B. Nowak et al., “Crackle or Pop? Initiate OW, $28 PT,” </t>
    </r>
  </si>
  <si>
    <t>Snap Inc. analyst report Exhibit 5 (p. 7), Morgan Stanley Research, 3/27/18.</t>
  </si>
  <si>
    <r>
      <rPr>
        <b/>
        <sz val="12"/>
        <color theme="1"/>
        <rFont val="Calibri"/>
        <family val="2"/>
        <scheme val="minor"/>
      </rPr>
      <t>Exhibit 4</t>
    </r>
    <r>
      <rPr>
        <sz val="12"/>
        <color theme="1"/>
        <rFont val="Calibri"/>
        <family val="2"/>
        <scheme val="minor"/>
      </rPr>
      <t>:  Snap Inc. Income Statement ($ millions)</t>
    </r>
  </si>
  <si>
    <r>
      <rPr>
        <b/>
        <sz val="9"/>
        <color theme="1"/>
        <rFont val="Calibri"/>
        <family val="2"/>
        <scheme val="minor"/>
      </rPr>
      <t>Source:</t>
    </r>
    <r>
      <rPr>
        <sz val="9"/>
        <color theme="1"/>
        <rFont val="Calibri"/>
        <family val="2"/>
        <scheme val="minor"/>
      </rPr>
      <t xml:space="preserve"> Snap Inc. SEC Registration Statement, Form S-1, 2/2/17, p. 57.</t>
    </r>
  </si>
  <si>
    <r>
      <rPr>
        <b/>
        <sz val="12"/>
        <color theme="1"/>
        <rFont val="Calibri"/>
        <family val="2"/>
        <scheme val="minor"/>
      </rPr>
      <t>Exhibit 5</t>
    </r>
    <r>
      <rPr>
        <sz val="12"/>
        <color theme="1"/>
        <rFont val="Calibri"/>
        <family val="2"/>
        <scheme val="minor"/>
      </rPr>
      <t>:  Snap Inc. Quarterly Financial and Operating Statistics</t>
    </r>
  </si>
  <si>
    <r>
      <rPr>
        <b/>
        <sz val="9"/>
        <color theme="1"/>
        <rFont val="Calibri"/>
        <family val="2"/>
        <scheme val="minor"/>
      </rPr>
      <t>Source:</t>
    </r>
    <r>
      <rPr>
        <sz val="9"/>
        <color theme="1"/>
        <rFont val="Calibri"/>
        <family val="2"/>
        <scheme val="minor"/>
      </rPr>
      <t xml:space="preserve">  Snap Inc. SEC Registration Statement, Form S-1, 2/2/17, pp. 62, 64, and 76.</t>
    </r>
  </si>
  <si>
    <r>
      <rPr>
        <b/>
        <sz val="9"/>
        <color theme="1"/>
        <rFont val="Calibri"/>
        <family val="2"/>
        <scheme val="minor"/>
      </rPr>
      <t>Source:</t>
    </r>
    <r>
      <rPr>
        <sz val="9"/>
        <color theme="1"/>
        <rFont val="Calibri"/>
        <family val="2"/>
        <scheme val="minor"/>
      </rPr>
      <t xml:space="preserve"> Snap Inc. SEC Registration Statement, Form S-1, 2/2/17, p. F-3.</t>
    </r>
  </si>
  <si>
    <r>
      <rPr>
        <b/>
        <sz val="12"/>
        <color theme="1"/>
        <rFont val="Calibri"/>
        <family val="2"/>
        <scheme val="minor"/>
      </rPr>
      <t>Exhibit 6</t>
    </r>
    <r>
      <rPr>
        <sz val="12"/>
        <color theme="1"/>
        <rFont val="Calibri"/>
        <family val="2"/>
        <scheme val="minor"/>
      </rPr>
      <t>:  Snap Inc. Balance Sheet ($ millions)</t>
    </r>
  </si>
  <si>
    <r>
      <rPr>
        <b/>
        <sz val="12"/>
        <color theme="1"/>
        <rFont val="Calibri"/>
        <family val="2"/>
        <scheme val="minor"/>
      </rPr>
      <t>Exhibit 7</t>
    </r>
    <r>
      <rPr>
        <sz val="12"/>
        <color theme="1"/>
        <rFont val="Calibri"/>
        <family val="2"/>
        <scheme val="minor"/>
      </rPr>
      <t>:  Summary of Sell-Side Equity Analyst Ratings for Snap Inc. in March 2017</t>
    </r>
  </si>
  <si>
    <r>
      <rPr>
        <b/>
        <sz val="9"/>
        <color theme="1"/>
        <rFont val="Calibri"/>
        <family val="2"/>
        <scheme val="minor"/>
      </rPr>
      <t>Source:</t>
    </r>
    <r>
      <rPr>
        <sz val="9"/>
        <color theme="1"/>
        <rFont val="Calibri"/>
        <family val="2"/>
        <scheme val="minor"/>
      </rPr>
      <t xml:space="preserve">  Bloomberg, accessed 3/19/18.</t>
    </r>
  </si>
  <si>
    <r>
      <rPr>
        <b/>
        <sz val="12"/>
        <color theme="1"/>
        <rFont val="Calibri"/>
        <family val="2"/>
        <scheme val="minor"/>
      </rPr>
      <t>Exhibit 8</t>
    </r>
    <r>
      <rPr>
        <sz val="12"/>
        <color theme="1"/>
        <rFont val="Calibri"/>
        <family val="2"/>
        <scheme val="minor"/>
      </rPr>
      <t>:  Summary of Sell-Side Equity Analyst Ratings for Snap Inc. in March 2017</t>
    </r>
  </si>
  <si>
    <r>
      <rPr>
        <b/>
        <sz val="9"/>
        <color theme="1"/>
        <rFont val="Calibri"/>
        <family val="2"/>
        <scheme val="minor"/>
      </rPr>
      <t>Source</t>
    </r>
    <r>
      <rPr>
        <sz val="9"/>
        <color theme="1"/>
        <rFont val="Calibri"/>
        <family val="2"/>
        <scheme val="minor"/>
      </rPr>
      <t>:  Casewriter analysis of individual equity research reports on Snap Inc. from each firm, available on ThompsonOne, accessed 3/18/18. Certain data comes from public news articles about the IPO.  Underwriter status was from:  Balakrishnan, A., “Here’s What Snap’s Wall Street Underwriters Made Off the IPO,” CNBC, 3/3/17, available at: https://www.cnbc.com/2017/03/03/snap-ipo-what-wall-street-banks-made.html, accessed 3/18/18</t>
    </r>
  </si>
  <si>
    <r>
      <rPr>
        <b/>
        <sz val="12"/>
        <color theme="1"/>
        <rFont val="Calibri"/>
        <family val="2"/>
        <scheme val="minor"/>
      </rPr>
      <t>Exhibit 9</t>
    </r>
    <r>
      <rPr>
        <sz val="12"/>
        <color theme="1"/>
        <rFont val="Calibri"/>
        <family val="2"/>
        <scheme val="minor"/>
      </rPr>
      <t>:  Summary of Analyst Assumptions and Forecasts for Snap in 2020 (see Note 1 below)</t>
    </r>
  </si>
  <si>
    <t>Coeff. of Variation (Note 2)</t>
  </si>
  <si>
    <r>
      <rPr>
        <b/>
        <sz val="9"/>
        <color theme="1"/>
        <rFont val="Calibri"/>
        <family val="2"/>
        <scheme val="minor"/>
      </rPr>
      <t>Source</t>
    </r>
    <r>
      <rPr>
        <sz val="9"/>
        <color theme="1"/>
        <rFont val="Calibri"/>
        <family val="2"/>
        <scheme val="minor"/>
      </rPr>
      <t>:  Individual equity research reports on Snap Inc. from each firm, available on ThompsonOne, accessed 3/18/18.</t>
    </r>
  </si>
  <si>
    <r>
      <t xml:space="preserve">Note 1:  </t>
    </r>
    <r>
      <rPr>
        <sz val="9"/>
        <color theme="1"/>
        <rFont val="Calibri"/>
        <family val="2"/>
        <scheme val="minor"/>
      </rPr>
      <t>Includes only firms that described using discounted cash flow (DCF) analysis to value Snap. Not all firms revealed all of the information needed to conduct DCF analysis.</t>
    </r>
  </si>
  <si>
    <r>
      <t xml:space="preserve">Note 2:  </t>
    </r>
    <r>
      <rPr>
        <sz val="9"/>
        <color theme="1"/>
        <rFont val="Calibri"/>
        <family val="2"/>
        <scheme val="minor"/>
      </rPr>
      <t>The coefficient of variation is a unitless measure of dispersion.  It is calculated by dividing the standard deviation of the sample by the mean.</t>
    </r>
  </si>
  <si>
    <r>
      <rPr>
        <b/>
        <sz val="12"/>
        <color theme="1"/>
        <rFont val="Calibri"/>
        <family val="2"/>
        <scheme val="minor"/>
      </rPr>
      <t>Exhibit 10</t>
    </r>
    <r>
      <rPr>
        <sz val="12"/>
        <color theme="1"/>
        <rFont val="Calibri"/>
        <family val="2"/>
        <scheme val="minor"/>
      </rPr>
      <t>:  Morgan Stanley’s Cash Flow Forecasts and Valuation Assumptions for Snap Inc. ($ millions)</t>
    </r>
  </si>
  <si>
    <r>
      <rPr>
        <b/>
        <sz val="9"/>
        <color theme="1"/>
        <rFont val="Calibri"/>
        <family val="2"/>
        <scheme val="minor"/>
      </rPr>
      <t>Source</t>
    </r>
    <r>
      <rPr>
        <sz val="9"/>
        <color theme="1"/>
        <rFont val="Calibri"/>
        <family val="2"/>
        <scheme val="minor"/>
      </rPr>
      <t>:  Nowak, B., et al., “Crackle or Pop? Initiate OW, $28 PT,” Snap Inc. analyst report Exhibit 5 (p. 7), Morgan Stanley Research, 3/27/17.</t>
    </r>
  </si>
  <si>
    <r>
      <t xml:space="preserve">Note 1:  </t>
    </r>
    <r>
      <rPr>
        <sz val="9"/>
        <color theme="1"/>
        <rFont val="Calibri"/>
        <family val="2"/>
        <scheme val="minor"/>
      </rPr>
      <t>Adjusted EBITDA is a non-GAAP item. It excludes stock-based compensation expense (a cash expense), but includes depreciation and amortization.</t>
    </r>
  </si>
  <si>
    <r>
      <t>Note 2:  Morgan Stanley Equity Research Disclosure</t>
    </r>
    <r>
      <rPr>
        <sz val="9"/>
        <color theme="1"/>
        <rFont val="Calibri"/>
        <family val="2"/>
        <scheme val="minor"/>
      </rPr>
      <t>:  Morgan Stanley does and seeks to do business with companies covered in Morgan Stanley Research. As a result, investors should be aware that the firm may have a conflict of interest that could affect the objectivity of Morgan Stanley Research. (p. 1 of the Snap Inc. analyst report, 3/27/17).</t>
    </r>
  </si>
  <si>
    <r>
      <t xml:space="preserve">Note 3:  Morgan Stanley Code of Conduct:  </t>
    </r>
    <r>
      <rPr>
        <sz val="9"/>
        <color theme="1"/>
        <rFont val="Calibri"/>
        <family val="2"/>
        <scheme val="minor"/>
      </rPr>
      <t>Our values inform everything we do: Putting Clients First, Leading with Exceptional Ideas, Doing the Right Thing and Giving Back.  Our Code of Conduct reflects our continued commitment to performing all our business activities in accordance with these core values and in full alignment with the letter and spritit of applicable laws, regulations and our policies…. Putting Clients First requires us to place our clients’ interests first and avoid conflicts between their interests and ours.  Available at:  https://www.morganstanley.com/about-us-governance/code-of-conduct, accessed 3/18/18.</t>
    </r>
  </si>
  <si>
    <r>
      <rPr>
        <b/>
        <sz val="12"/>
        <color theme="1"/>
        <rFont val="Calibri"/>
        <family val="2"/>
        <scheme val="minor"/>
      </rPr>
      <t>Exhibit 11</t>
    </r>
    <r>
      <rPr>
        <sz val="12"/>
        <color theme="1"/>
        <rFont val="Calibri"/>
        <family val="2"/>
        <scheme val="minor"/>
      </rPr>
      <t>:  Assumptions Used by Morgan Stanley for Internet Stocks and Other Market Data</t>
    </r>
  </si>
  <si>
    <r>
      <rPr>
        <b/>
        <sz val="9"/>
        <color theme="1"/>
        <rFont val="Calibri"/>
        <family val="2"/>
        <scheme val="minor"/>
      </rPr>
      <t>Source</t>
    </r>
    <r>
      <rPr>
        <sz val="9"/>
        <color theme="1"/>
        <rFont val="Calibri"/>
        <family val="2"/>
        <scheme val="minor"/>
      </rPr>
      <t>:  Individual equity research reports for each firm by Morgan Stanley, available on ThompsonOne, accessed 3/30/18.  The betas and financial data are from Standard &amp; Poor’s Capital IQ database, accessed 4/6/18.</t>
    </r>
  </si>
  <si>
    <r>
      <t xml:space="preserve">Note (a):  </t>
    </r>
    <r>
      <rPr>
        <sz val="9"/>
        <color theme="1"/>
        <rFont val="Calibri"/>
        <family val="2"/>
        <scheme val="minor"/>
      </rPr>
      <t>Because Microsoft acquired LinkedIn in late 2016, financial and trading data was not available.</t>
    </r>
  </si>
  <si>
    <r>
      <rPr>
        <b/>
        <sz val="12"/>
        <color theme="1"/>
        <rFont val="Calibri"/>
        <family val="2"/>
        <scheme val="minor"/>
      </rPr>
      <t>Exhibit 12</t>
    </r>
    <r>
      <rPr>
        <sz val="12"/>
        <color theme="1"/>
        <rFont val="Calibri"/>
        <family val="2"/>
        <scheme val="minor"/>
      </rPr>
      <t>:  Summary of Morgan Stanley Investment Ratings, March 2017</t>
    </r>
  </si>
  <si>
    <r>
      <rPr>
        <b/>
        <sz val="9"/>
        <color theme="1"/>
        <rFont val="Calibri"/>
        <family val="2"/>
        <scheme val="minor"/>
      </rPr>
      <t>Source</t>
    </r>
    <r>
      <rPr>
        <sz val="9"/>
        <color theme="1"/>
        <rFont val="Calibri"/>
        <family val="2"/>
        <scheme val="minor"/>
      </rPr>
      <t>:  Nowak, B., et al., “Crackle or Pop? Initiate OW, $28 PT,” Snap Inc. analyst report p. 38, Morgan Stanley Research, 3/27/17.</t>
    </r>
  </si>
  <si>
    <t>Courseware #9-218-726</t>
  </si>
  <si>
    <t>Atlantic Equities</t>
  </si>
  <si>
    <t>Mizuho Securities</t>
  </si>
  <si>
    <t>Drexel Hamilton</t>
  </si>
  <si>
    <t>Moffett Nathanson</t>
  </si>
  <si>
    <t>N/A</t>
  </si>
  <si>
    <t>Original Date:  June 5, 2018</t>
  </si>
  <si>
    <t>Distribution During Quiet Period</t>
  </si>
  <si>
    <t>Distribution After Quiet Period</t>
  </si>
  <si>
    <t>s</t>
  </si>
  <si>
    <r>
      <rPr>
        <b/>
        <sz val="9"/>
        <color theme="1"/>
        <rFont val="Calibri"/>
        <family val="2"/>
        <scheme val="minor"/>
      </rPr>
      <t>Note (a)</t>
    </r>
    <r>
      <rPr>
        <sz val="9"/>
        <color theme="1"/>
        <rFont val="Calibri"/>
        <family val="2"/>
        <scheme val="minor"/>
      </rPr>
      <t>:  Numerical ratings: 1 = sell, 2 = underweight, 3 = neutral, 4 = overweight, and 5 = buy.</t>
    </r>
  </si>
  <si>
    <t># Fully Diluted Shares (millions)</t>
  </si>
  <si>
    <t>- Cash Taxes</t>
  </si>
  <si>
    <t>- Incr. (Decr.) in Net WC</t>
  </si>
  <si>
    <t>- Capital Expenditures</t>
  </si>
  <si>
    <t>- Stock-based Comp.</t>
  </si>
  <si>
    <t>Actual</t>
  </si>
  <si>
    <t>Rev: 4/19/21</t>
  </si>
  <si>
    <t>This courseware  was prepared solely as the basis for class discussion. Cases are not intended to serve as endorsements, sources of primary data, or illustrations of effective or ineffective management. Copyright © 2021 President and Fellows of Harvard College. No part of this product may be reproduced, stored in a retrieval system, used in a spreadsheet or transmitted in any form or by any means—electronic, mechanical, photocopying, recording or otherwise—without the permission of Harvard Business School.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</si>
</sst>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6" formatCode="&quot;$&quot;#,##0_);[Red]\(&quot;$&quot;#,##0\)"/>
    <numFmt numFmtId="8" formatCode="&quot;$&quot;#,##0.00_);[Red]\(&quot;$&quot;#,##0.00\)"/>
    <numFmt numFmtId="164" formatCode="&quot;$&quot;#,##0.0_);[Red]\(&quot;$&quot;#,##0.0\)"/>
    <numFmt numFmtId="165" formatCode="&quot;$&quot;#,##0.00"/>
    <numFmt numFmtId="166" formatCode="0.0%;[Red]\(0.0%\)"/>
    <numFmt numFmtId="167" formatCode="0.0%"/>
    <numFmt numFmtId="168" formatCode="[$-409]d\-mmm\-yy;@"/>
    <numFmt numFmtId="169" formatCode="0.0"/>
    <numFmt numFmtId="170" formatCode="&quot;$&quot;#,##0"/>
    <numFmt numFmtId="171" formatCode="&quot;$&quot;#,##0.0"/>
    <numFmt numFmtId="172" formatCode="#,##0.0_);[Red]\(#,##0.0\)"/>
  </numFmts>
  <fonts count="1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i/>
      <sz val="11"/>
      <color rgb="FFFF0000"/>
      <name val="Calibri"/>
      <family val="2"/>
      <scheme val="minor"/>
    </font>
    <font>
      <b/>
      <i/>
      <sz val="11"/>
      <color rgb="FFFF0000"/>
      <name val="Calibri"/>
      <family val="2"/>
      <scheme val="minor"/>
    </font>
    <font>
      <b/>
      <sz val="11"/>
      <color rgb="FF0000FF"/>
      <name val="Calibri"/>
      <family val="2"/>
      <scheme val="minor"/>
    </font>
    <font>
      <sz val="10"/>
      <color theme="1"/>
      <name val="Calibri"/>
      <family val="2"/>
      <scheme val="minor"/>
    </font>
    <font>
      <sz val="12"/>
      <color theme="1"/>
      <name val="Calibri"/>
      <family val="2"/>
      <scheme val="minor"/>
    </font>
    <font>
      <b/>
      <sz val="10"/>
      <name val="Helvetica"/>
      <family val="2"/>
    </font>
    <font>
      <b/>
      <sz val="10"/>
      <color rgb="FF0000FF"/>
      <name val="Helvetica"/>
    </font>
    <font>
      <sz val="9"/>
      <color theme="1"/>
      <name val="Calibri"/>
      <family val="2"/>
      <scheme val="minor"/>
    </font>
    <font>
      <b/>
      <sz val="9"/>
      <color theme="1"/>
      <name val="Calibri"/>
      <family val="2"/>
      <scheme val="minor"/>
    </font>
    <font>
      <b/>
      <sz val="12"/>
      <color theme="1"/>
      <name val="Calibri"/>
      <family val="2"/>
      <scheme val="minor"/>
    </font>
    <font>
      <sz val="9"/>
      <color rgb="FF000000"/>
      <name val="Calibri"/>
      <family val="2"/>
      <scheme val="minor"/>
    </font>
    <font>
      <b/>
      <sz val="9"/>
      <color rgb="FF000000"/>
      <name val="Calibri"/>
      <family val="2"/>
      <scheme val="minor"/>
    </font>
    <font>
      <b/>
      <sz val="10"/>
      <color rgb="FFFF0000"/>
      <name val="Helvetica"/>
    </font>
    <font>
      <sz val="10"/>
      <color rgb="FFFF0000"/>
      <name val="Helvetica"/>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bottom style="thin">
        <color indexed="64"/>
      </bottom>
      <diagonal/>
    </border>
    <border>
      <left/>
      <right/>
      <top/>
      <bottom style="medium">
        <color indexed="64"/>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right/>
      <top style="medium">
        <color indexed="64"/>
      </top>
      <bottom/>
      <diagonal/>
    </border>
  </borders>
  <cellStyleXfs count="2">
    <xf numFmtId="0" fontId="0" fillId="0" borderId="0"/>
    <xf numFmtId="9" fontId="1" fillId="0" borderId="0" applyFont="0" applyFill="0" applyBorder="0" applyAlignment="0" applyProtection="0"/>
  </cellStyleXfs>
  <cellXfs count="134">
    <xf numFmtId="0" fontId="0" fillId="0" borderId="0" xfId="0"/>
    <xf numFmtId="0" fontId="2" fillId="0" borderId="0" xfId="0" applyFont="1"/>
    <xf numFmtId="0" fontId="3" fillId="0" borderId="0" xfId="0" applyFont="1"/>
    <xf numFmtId="0" fontId="0" fillId="0" borderId="1" xfId="0" applyBorder="1"/>
    <xf numFmtId="0" fontId="2" fillId="0" borderId="1" xfId="0" applyFont="1" applyBorder="1"/>
    <xf numFmtId="164" fontId="0" fillId="0" borderId="0" xfId="0" applyNumberFormat="1"/>
    <xf numFmtId="0" fontId="0" fillId="0" borderId="0" xfId="0" applyAlignment="1">
      <alignment horizontal="right"/>
    </xf>
    <xf numFmtId="0" fontId="2" fillId="0" borderId="0" xfId="0" applyFont="1" applyAlignment="1">
      <alignment horizontal="right"/>
    </xf>
    <xf numFmtId="0" fontId="2" fillId="0" borderId="1" xfId="0" applyFont="1" applyBorder="1" applyAlignment="1">
      <alignment horizontal="right"/>
    </xf>
    <xf numFmtId="165" fontId="0" fillId="0" borderId="0" xfId="0" applyNumberFormat="1"/>
    <xf numFmtId="0" fontId="2" fillId="0" borderId="0" xfId="0" applyFont="1" applyBorder="1" applyAlignment="1">
      <alignment horizontal="center"/>
    </xf>
    <xf numFmtId="0" fontId="2" fillId="0" borderId="1" xfId="0" applyFont="1" applyFill="1" applyBorder="1" applyAlignment="1">
      <alignment horizontal="right"/>
    </xf>
    <xf numFmtId="166" fontId="0" fillId="0" borderId="0" xfId="1" applyNumberFormat="1" applyFont="1"/>
    <xf numFmtId="167" fontId="0" fillId="0" borderId="0" xfId="1" applyNumberFormat="1" applyFont="1"/>
    <xf numFmtId="0" fontId="0" fillId="0" borderId="2" xfId="0" applyBorder="1"/>
    <xf numFmtId="168" fontId="0" fillId="0" borderId="0" xfId="0" applyNumberFormat="1"/>
    <xf numFmtId="6" fontId="0" fillId="0" borderId="0" xfId="0" applyNumberFormat="1"/>
    <xf numFmtId="0" fontId="0" fillId="0" borderId="0" xfId="0" applyBorder="1"/>
    <xf numFmtId="3" fontId="0" fillId="0" borderId="0" xfId="0" applyNumberFormat="1"/>
    <xf numFmtId="167" fontId="0" fillId="0" borderId="0" xfId="0" applyNumberFormat="1" applyFill="1"/>
    <xf numFmtId="168" fontId="0" fillId="0" borderId="0" xfId="0" applyNumberFormat="1" applyFill="1"/>
    <xf numFmtId="165" fontId="0" fillId="0" borderId="0" xfId="0" applyNumberFormat="1" applyFill="1"/>
    <xf numFmtId="0" fontId="0" fillId="0" borderId="0" xfId="0" applyFill="1"/>
    <xf numFmtId="167" fontId="0" fillId="0" borderId="0" xfId="0" applyNumberFormat="1"/>
    <xf numFmtId="169" fontId="0" fillId="0" borderId="0" xfId="0" applyNumberFormat="1"/>
    <xf numFmtId="14" fontId="0" fillId="0" borderId="0" xfId="0" applyNumberFormat="1"/>
    <xf numFmtId="166" fontId="0" fillId="0" borderId="0" xfId="0" applyNumberFormat="1" applyFill="1"/>
    <xf numFmtId="165" fontId="0" fillId="0" borderId="0" xfId="0" quotePrefix="1" applyNumberFormat="1" applyAlignment="1">
      <alignment horizontal="right"/>
    </xf>
    <xf numFmtId="165" fontId="0" fillId="0" borderId="0" xfId="0" applyNumberFormat="1" applyAlignment="1">
      <alignment horizontal="right"/>
    </xf>
    <xf numFmtId="0" fontId="0" fillId="0" borderId="0" xfId="0" quotePrefix="1"/>
    <xf numFmtId="0" fontId="0" fillId="0" borderId="0" xfId="0" applyFont="1"/>
    <xf numFmtId="9" fontId="0" fillId="0" borderId="0" xfId="0" applyNumberFormat="1" applyFont="1"/>
    <xf numFmtId="3" fontId="0" fillId="0" borderId="0" xfId="0" applyNumberFormat="1" applyFont="1"/>
    <xf numFmtId="9" fontId="0" fillId="0" borderId="1" xfId="0" applyNumberFormat="1" applyFont="1" applyBorder="1"/>
    <xf numFmtId="3" fontId="0" fillId="0" borderId="1" xfId="0" applyNumberFormat="1" applyFont="1" applyBorder="1"/>
    <xf numFmtId="0" fontId="0" fillId="0" borderId="2" xfId="0" applyFont="1" applyBorder="1"/>
    <xf numFmtId="14" fontId="0" fillId="0" borderId="0" xfId="0" quotePrefix="1" applyNumberFormat="1"/>
    <xf numFmtId="16" fontId="0" fillId="0" borderId="0" xfId="0" quotePrefix="1" applyNumberFormat="1"/>
    <xf numFmtId="0" fontId="2" fillId="0" borderId="0" xfId="0" applyFont="1" applyBorder="1" applyAlignment="1">
      <alignment horizontal="right"/>
    </xf>
    <xf numFmtId="14" fontId="0" fillId="0" borderId="2" xfId="0" applyNumberFormat="1" applyBorder="1"/>
    <xf numFmtId="2" fontId="0" fillId="0" borderId="0" xfId="0" applyNumberFormat="1"/>
    <xf numFmtId="10" fontId="2" fillId="0" borderId="0" xfId="0" applyNumberFormat="1" applyFont="1" applyAlignment="1">
      <alignment horizontal="right"/>
    </xf>
    <xf numFmtId="14" fontId="2" fillId="0" borderId="0" xfId="0" applyNumberFormat="1" applyFont="1"/>
    <xf numFmtId="2" fontId="2" fillId="0" borderId="0" xfId="0" applyNumberFormat="1" applyFont="1" applyAlignment="1">
      <alignment horizontal="right"/>
    </xf>
    <xf numFmtId="2" fontId="0" fillId="0" borderId="0" xfId="0" applyNumberFormat="1" applyFill="1"/>
    <xf numFmtId="9" fontId="0" fillId="0" borderId="0" xfId="1" applyFont="1"/>
    <xf numFmtId="10" fontId="0" fillId="0" borderId="0" xfId="1" applyNumberFormat="1" applyFont="1"/>
    <xf numFmtId="3" fontId="0" fillId="0" borderId="0" xfId="1" applyNumberFormat="1" applyFont="1"/>
    <xf numFmtId="0" fontId="6" fillId="0" borderId="1" xfId="0" applyFont="1" applyBorder="1"/>
    <xf numFmtId="16" fontId="2" fillId="0" borderId="1" xfId="0" applyNumberFormat="1" applyFont="1" applyBorder="1"/>
    <xf numFmtId="164" fontId="0" fillId="0" borderId="2" xfId="0" applyNumberFormat="1" applyBorder="1"/>
    <xf numFmtId="164" fontId="0" fillId="0" borderId="1" xfId="0" applyNumberFormat="1" applyBorder="1"/>
    <xf numFmtId="164" fontId="2" fillId="0" borderId="0" xfId="0" applyNumberFormat="1" applyFont="1"/>
    <xf numFmtId="164" fontId="0" fillId="0" borderId="3" xfId="0" applyNumberFormat="1" applyBorder="1"/>
    <xf numFmtId="164" fontId="2" fillId="0" borderId="3" xfId="0" applyNumberFormat="1" applyFont="1" applyBorder="1"/>
    <xf numFmtId="164" fontId="0" fillId="0" borderId="0" xfId="0" applyNumberFormat="1" applyFill="1"/>
    <xf numFmtId="9" fontId="0" fillId="0" borderId="0" xfId="1" applyNumberFormat="1" applyFont="1"/>
    <xf numFmtId="0" fontId="5" fillId="0" borderId="0" xfId="0" applyFont="1"/>
    <xf numFmtId="10" fontId="0" fillId="0" borderId="2" xfId="1" applyNumberFormat="1" applyFont="1" applyBorder="1"/>
    <xf numFmtId="0" fontId="2" fillId="0" borderId="0" xfId="0" applyFont="1" applyBorder="1"/>
    <xf numFmtId="10" fontId="0" fillId="0" borderId="0" xfId="1" applyNumberFormat="1" applyFont="1" applyFill="1"/>
    <xf numFmtId="0" fontId="7" fillId="0" borderId="2" xfId="0" applyFont="1" applyBorder="1"/>
    <xf numFmtId="0" fontId="0" fillId="0" borderId="1" xfId="0" applyFont="1" applyBorder="1"/>
    <xf numFmtId="8" fontId="0" fillId="0" borderId="0" xfId="0" applyNumberFormat="1"/>
    <xf numFmtId="8" fontId="0" fillId="0" borderId="0" xfId="0" applyNumberFormat="1" applyAlignment="1">
      <alignment horizontal="right"/>
    </xf>
    <xf numFmtId="170" fontId="2" fillId="0" borderId="0" xfId="0" applyNumberFormat="1" applyFont="1"/>
    <xf numFmtId="165" fontId="2" fillId="0" borderId="0" xfId="0" applyNumberFormat="1" applyFont="1"/>
    <xf numFmtId="3" fontId="0" fillId="2" borderId="0" xfId="0" applyNumberFormat="1" applyFill="1"/>
    <xf numFmtId="0" fontId="0" fillId="2" borderId="0" xfId="0" applyFill="1"/>
    <xf numFmtId="170" fontId="0" fillId="0" borderId="0" xfId="0" applyNumberFormat="1"/>
    <xf numFmtId="3" fontId="0" fillId="0" borderId="1" xfId="0" applyNumberFormat="1" applyBorder="1"/>
    <xf numFmtId="6" fontId="2" fillId="0" borderId="0" xfId="0" applyNumberFormat="1" applyFont="1"/>
    <xf numFmtId="6" fontId="0" fillId="0" borderId="0" xfId="0" applyNumberFormat="1" applyFill="1"/>
    <xf numFmtId="0" fontId="0" fillId="0" borderId="0" xfId="0" applyFill="1" applyAlignment="1">
      <alignment horizontal="right"/>
    </xf>
    <xf numFmtId="6" fontId="0" fillId="0" borderId="0" xfId="0" applyNumberFormat="1" applyFill="1" applyAlignment="1">
      <alignment horizontal="right"/>
    </xf>
    <xf numFmtId="2" fontId="0" fillId="0" borderId="0" xfId="0" applyNumberFormat="1" applyFill="1" applyAlignment="1">
      <alignment horizontal="right"/>
    </xf>
    <xf numFmtId="167" fontId="2" fillId="0" borderId="0" xfId="1" applyNumberFormat="1" applyFont="1" applyAlignment="1">
      <alignment horizontal="right"/>
    </xf>
    <xf numFmtId="167" fontId="0" fillId="2" borderId="4" xfId="0" applyNumberFormat="1" applyFill="1" applyBorder="1"/>
    <xf numFmtId="0" fontId="4" fillId="0" borderId="0" xfId="0" applyFont="1" applyAlignment="1">
      <alignment horizontal="right"/>
    </xf>
    <xf numFmtId="167" fontId="0" fillId="0" borderId="0" xfId="0" applyNumberFormat="1" applyFill="1" applyAlignment="1">
      <alignment horizontal="right"/>
    </xf>
    <xf numFmtId="167" fontId="0" fillId="0" borderId="0" xfId="1" applyNumberFormat="1" applyFont="1" applyFill="1"/>
    <xf numFmtId="168" fontId="0" fillId="0" borderId="0" xfId="0" applyNumberFormat="1" applyAlignment="1">
      <alignment horizontal="right"/>
    </xf>
    <xf numFmtId="3" fontId="0" fillId="0" borderId="0" xfId="0" applyNumberFormat="1" applyFill="1"/>
    <xf numFmtId="1" fontId="0" fillId="0" borderId="0" xfId="0" applyNumberFormat="1" applyFill="1"/>
    <xf numFmtId="0" fontId="0" fillId="0" borderId="0" xfId="0" applyNumberFormat="1" applyFill="1"/>
    <xf numFmtId="6" fontId="0" fillId="0" borderId="0" xfId="0" applyNumberFormat="1" applyFont="1" applyFill="1"/>
    <xf numFmtId="168" fontId="4" fillId="0" borderId="0" xfId="0" applyNumberFormat="1" applyFont="1" applyAlignment="1">
      <alignment horizontal="right"/>
    </xf>
    <xf numFmtId="0" fontId="2" fillId="2" borderId="0" xfId="0" applyFont="1" applyFill="1"/>
    <xf numFmtId="168" fontId="2" fillId="2" borderId="0" xfId="0" applyNumberFormat="1" applyFont="1" applyFill="1"/>
    <xf numFmtId="167" fontId="2" fillId="2" borderId="0" xfId="0" applyNumberFormat="1" applyFont="1" applyFill="1"/>
    <xf numFmtId="6" fontId="2" fillId="2" borderId="0" xfId="0" applyNumberFormat="1" applyFont="1" applyFill="1"/>
    <xf numFmtId="3" fontId="2" fillId="2" borderId="0" xfId="0" applyNumberFormat="1" applyFont="1" applyFill="1"/>
    <xf numFmtId="165" fontId="2" fillId="2" borderId="0" xfId="0" applyNumberFormat="1" applyFont="1" applyFill="1"/>
    <xf numFmtId="166" fontId="0" fillId="0" borderId="0" xfId="0" applyNumberFormat="1"/>
    <xf numFmtId="166" fontId="2" fillId="2" borderId="0" xfId="0" applyNumberFormat="1" applyFont="1" applyFill="1"/>
    <xf numFmtId="0" fontId="9" fillId="0" borderId="0" xfId="0" applyFont="1"/>
    <xf numFmtId="0" fontId="10" fillId="0" borderId="0" xfId="0" applyFont="1"/>
    <xf numFmtId="0" fontId="2" fillId="0" borderId="0" xfId="0" applyFont="1" applyAlignment="1">
      <alignment horizontal="left"/>
    </xf>
    <xf numFmtId="170" fontId="2" fillId="2" borderId="0" xfId="0" applyNumberFormat="1" applyFont="1" applyFill="1"/>
    <xf numFmtId="171" fontId="0" fillId="0" borderId="0" xfId="0" applyNumberFormat="1"/>
    <xf numFmtId="171" fontId="0" fillId="0" borderId="0" xfId="0" applyNumberFormat="1" applyFill="1"/>
    <xf numFmtId="170" fontId="0" fillId="0" borderId="0" xfId="0" applyNumberFormat="1" applyFill="1"/>
    <xf numFmtId="172" fontId="0" fillId="0" borderId="0" xfId="0" applyNumberFormat="1" applyFill="1"/>
    <xf numFmtId="172" fontId="0" fillId="0" borderId="0" xfId="0" applyNumberFormat="1"/>
    <xf numFmtId="0" fontId="0" fillId="0" borderId="1" xfId="0" applyFill="1" applyBorder="1"/>
    <xf numFmtId="168" fontId="0" fillId="0" borderId="1" xfId="0" applyNumberFormat="1" applyBorder="1"/>
    <xf numFmtId="170" fontId="0" fillId="0" borderId="1" xfId="0" applyNumberFormat="1" applyBorder="1" applyAlignment="1">
      <alignment horizontal="right"/>
    </xf>
    <xf numFmtId="167" fontId="0" fillId="0" borderId="1" xfId="0" applyNumberFormat="1" applyBorder="1"/>
    <xf numFmtId="6" fontId="0" fillId="0" borderId="1" xfId="0" applyNumberFormat="1" applyFill="1" applyBorder="1" applyAlignment="1">
      <alignment horizontal="right"/>
    </xf>
    <xf numFmtId="6" fontId="0" fillId="0" borderId="1" xfId="0" applyNumberFormat="1" applyFill="1" applyBorder="1"/>
    <xf numFmtId="165" fontId="0" fillId="0" borderId="0" xfId="0" applyNumberFormat="1" applyBorder="1" applyAlignment="1">
      <alignment horizontal="right"/>
    </xf>
    <xf numFmtId="6" fontId="0" fillId="0" borderId="1" xfId="0" applyNumberFormat="1" applyBorder="1"/>
    <xf numFmtId="10" fontId="0" fillId="0" borderId="0" xfId="1" applyNumberFormat="1" applyFont="1" applyAlignment="1">
      <alignment horizontal="right"/>
    </xf>
    <xf numFmtId="167" fontId="0" fillId="2" borderId="4" xfId="1" applyNumberFormat="1" applyFont="1" applyFill="1" applyBorder="1" applyAlignment="1">
      <alignment horizontal="right" indent="1"/>
    </xf>
    <xf numFmtId="166" fontId="0" fillId="0" borderId="0" xfId="1" applyNumberFormat="1" applyFont="1" applyFill="1"/>
    <xf numFmtId="0" fontId="8" fillId="0" borderId="0" xfId="0" applyFont="1"/>
    <xf numFmtId="0" fontId="11" fillId="0" borderId="0" xfId="0" applyFont="1"/>
    <xf numFmtId="0" fontId="14" fillId="0" borderId="0" xfId="0" applyFont="1"/>
    <xf numFmtId="0" fontId="12" fillId="0" borderId="0" xfId="0" applyFont="1"/>
    <xf numFmtId="0" fontId="12" fillId="0" borderId="0" xfId="0" applyFont="1" applyAlignment="1">
      <alignment horizontal="left" vertical="top" wrapText="1"/>
    </xf>
    <xf numFmtId="0" fontId="0" fillId="0" borderId="0" xfId="0" applyFill="1" applyAlignment="1">
      <alignment horizontal="left"/>
    </xf>
    <xf numFmtId="168" fontId="0" fillId="0" borderId="0" xfId="0" applyNumberFormat="1" applyAlignment="1">
      <alignment horizontal="center"/>
    </xf>
    <xf numFmtId="0" fontId="0" fillId="0" borderId="0" xfId="0" applyFill="1" applyAlignment="1">
      <alignment horizontal="center"/>
    </xf>
    <xf numFmtId="0" fontId="16" fillId="0" borderId="0" xfId="0" applyFont="1"/>
    <xf numFmtId="0" fontId="17" fillId="0" borderId="0" xfId="0" applyFont="1"/>
    <xf numFmtId="0" fontId="0" fillId="0" borderId="0" xfId="0" applyAlignment="1">
      <alignment horizontal="justify" vertical="top" wrapText="1"/>
    </xf>
    <xf numFmtId="0" fontId="2" fillId="0" borderId="1" xfId="0" applyFont="1" applyBorder="1" applyAlignment="1">
      <alignment horizontal="center"/>
    </xf>
    <xf numFmtId="0" fontId="2" fillId="2" borderId="1" xfId="0" applyFont="1" applyFill="1" applyBorder="1" applyAlignment="1">
      <alignment horizontal="center"/>
    </xf>
    <xf numFmtId="0" fontId="11" fillId="0" borderId="0" xfId="0" applyFont="1" applyAlignment="1">
      <alignment horizontal="left" vertical="top" wrapText="1"/>
    </xf>
    <xf numFmtId="0" fontId="2" fillId="0" borderId="5" xfId="0" applyFont="1" applyBorder="1" applyAlignment="1">
      <alignment horizontal="center"/>
    </xf>
    <xf numFmtId="0" fontId="12" fillId="0" borderId="0" xfId="0" applyFont="1" applyAlignment="1">
      <alignment horizontal="left" vertical="top" wrapText="1"/>
    </xf>
    <xf numFmtId="0" fontId="2" fillId="2" borderId="5" xfId="0" applyFont="1" applyFill="1" applyBorder="1" applyAlignment="1">
      <alignment horizontal="center"/>
    </xf>
    <xf numFmtId="0" fontId="2" fillId="0" borderId="6" xfId="0" applyFont="1" applyBorder="1" applyAlignment="1">
      <alignment horizontal="center"/>
    </xf>
    <xf numFmtId="0" fontId="2" fillId="0" borderId="0" xfId="0" applyFont="1" applyAlignment="1">
      <alignment horizontal="center"/>
    </xf>
  </cellXfs>
  <cellStyles count="2">
    <cellStyle name="Normal" xfId="0" builtinId="0"/>
    <cellStyle name="Percent" xfId="1" builtinId="5"/>
  </cellStyles>
  <dxfs count="0"/>
  <tableStyles count="0" defaultTableStyle="TableStyleMedium2" defaultPivotStyle="PivotStyleLight16"/>
  <colors>
    <mruColors>
      <color rgb="FFFF00FF"/>
      <color rgb="FF008000"/>
      <color rgb="FFCCFFFF"/>
      <color rgb="FF66FFFF"/>
      <color rgb="FFFFCCFF"/>
      <color rgb="FF0000FF"/>
      <color rgb="FF00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
  <sheetViews>
    <sheetView tabSelected="1" workbookViewId="0">
      <selection activeCell="K6" sqref="K6"/>
    </sheetView>
  </sheetViews>
  <sheetFormatPr defaultRowHeight="15" x14ac:dyDescent="0.25"/>
  <sheetData>
    <row r="1" spans="1:9" x14ac:dyDescent="0.25">
      <c r="A1" s="95" t="s">
        <v>231</v>
      </c>
    </row>
    <row r="2" spans="1:9" x14ac:dyDescent="0.25">
      <c r="A2" t="s">
        <v>210</v>
      </c>
    </row>
    <row r="3" spans="1:9" x14ac:dyDescent="0.25">
      <c r="A3" s="96" t="s">
        <v>262</v>
      </c>
    </row>
    <row r="4" spans="1:9" x14ac:dyDescent="0.25">
      <c r="A4" s="96" t="s">
        <v>268</v>
      </c>
    </row>
    <row r="5" spans="1:9" x14ac:dyDescent="0.25">
      <c r="A5" s="123" t="s">
        <v>279</v>
      </c>
    </row>
    <row r="6" spans="1:9" x14ac:dyDescent="0.25">
      <c r="A6" s="124"/>
    </row>
    <row r="8" spans="1:9" ht="92.45" customHeight="1" x14ac:dyDescent="0.25">
      <c r="A8" s="125" t="s">
        <v>280</v>
      </c>
      <c r="B8" s="125"/>
      <c r="C8" s="125"/>
      <c r="D8" s="125"/>
      <c r="E8" s="125"/>
      <c r="F8" s="125"/>
      <c r="G8" s="125"/>
      <c r="H8" s="125"/>
      <c r="I8" s="125"/>
    </row>
  </sheetData>
  <mergeCells count="1">
    <mergeCell ref="A8:I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selection activeCell="B23" sqref="B23"/>
    </sheetView>
  </sheetViews>
  <sheetFormatPr defaultRowHeight="15" x14ac:dyDescent="0.25"/>
  <cols>
    <col min="1" max="1" width="2.85546875" customWidth="1"/>
    <col min="2" max="2" width="34.7109375" customWidth="1"/>
    <col min="3" max="3" width="10.85546875" customWidth="1"/>
    <col min="4" max="4" width="3.85546875" customWidth="1"/>
    <col min="5" max="5" width="10.85546875" customWidth="1"/>
    <col min="6" max="7" width="2.85546875" customWidth="1"/>
    <col min="8" max="8" width="24.140625" customWidth="1"/>
    <col min="9" max="9" width="3.85546875" customWidth="1"/>
  </cols>
  <sheetData>
    <row r="1" spans="1:9" ht="15.75" x14ac:dyDescent="0.25">
      <c r="A1" s="115" t="s">
        <v>232</v>
      </c>
    </row>
    <row r="3" spans="1:9" ht="15.75" thickBot="1" x14ac:dyDescent="0.3">
      <c r="A3" s="14"/>
      <c r="B3" s="14"/>
      <c r="C3" s="61"/>
      <c r="D3" s="61"/>
      <c r="E3" s="61"/>
      <c r="F3" s="61"/>
      <c r="G3" s="61"/>
      <c r="H3" s="61"/>
      <c r="I3" s="61"/>
    </row>
    <row r="4" spans="1:9" x14ac:dyDescent="0.25">
      <c r="B4" s="1"/>
    </row>
    <row r="5" spans="1:9" x14ac:dyDescent="0.25">
      <c r="A5" s="4" t="s">
        <v>168</v>
      </c>
      <c r="B5" s="3"/>
      <c r="C5" s="4">
        <v>2016</v>
      </c>
      <c r="D5" s="4"/>
      <c r="E5" s="8" t="s">
        <v>169</v>
      </c>
      <c r="F5" s="8"/>
      <c r="G5" s="4" t="s">
        <v>170</v>
      </c>
      <c r="H5" s="62"/>
      <c r="I5" s="62"/>
    </row>
    <row r="6" spans="1:9" x14ac:dyDescent="0.25">
      <c r="B6" s="1"/>
    </row>
    <row r="7" spans="1:9" x14ac:dyDescent="0.25">
      <c r="A7" t="s">
        <v>171</v>
      </c>
      <c r="C7">
        <v>158</v>
      </c>
      <c r="E7">
        <v>236</v>
      </c>
      <c r="G7" t="s">
        <v>172</v>
      </c>
    </row>
    <row r="8" spans="1:9" x14ac:dyDescent="0.25">
      <c r="B8" s="29" t="s">
        <v>173</v>
      </c>
      <c r="C8">
        <v>0.42</v>
      </c>
      <c r="E8" s="40">
        <v>0.5</v>
      </c>
      <c r="F8" s="40"/>
    </row>
    <row r="9" spans="1:9" x14ac:dyDescent="0.25">
      <c r="B9" t="s">
        <v>174</v>
      </c>
      <c r="C9">
        <v>0.6</v>
      </c>
      <c r="E9">
        <v>7.9</v>
      </c>
      <c r="G9" t="s">
        <v>175</v>
      </c>
    </row>
    <row r="10" spans="1:9" x14ac:dyDescent="0.25">
      <c r="B10" t="s">
        <v>176</v>
      </c>
      <c r="C10" s="110">
        <v>26</v>
      </c>
      <c r="D10" s="110"/>
      <c r="E10" s="110">
        <v>14.37</v>
      </c>
      <c r="F10" s="63"/>
      <c r="G10" t="s">
        <v>177</v>
      </c>
    </row>
    <row r="11" spans="1:9" x14ac:dyDescent="0.25">
      <c r="B11" t="s">
        <v>178</v>
      </c>
      <c r="C11" s="3">
        <v>365</v>
      </c>
      <c r="D11" s="64"/>
      <c r="E11" s="3">
        <v>365</v>
      </c>
      <c r="F11" s="63"/>
    </row>
    <row r="12" spans="1:9" x14ac:dyDescent="0.25">
      <c r="B12" s="7" t="s">
        <v>179</v>
      </c>
      <c r="C12" s="65">
        <v>378</v>
      </c>
      <c r="D12" s="65"/>
      <c r="E12" s="65">
        <v>4889</v>
      </c>
      <c r="F12" s="18"/>
      <c r="G12" t="s">
        <v>215</v>
      </c>
    </row>
    <row r="13" spans="1:9" x14ac:dyDescent="0.25">
      <c r="B13" s="7" t="s">
        <v>180</v>
      </c>
      <c r="C13" s="66">
        <f>C12/C7</f>
        <v>2.3924050632911391</v>
      </c>
      <c r="D13" s="65"/>
      <c r="E13" s="66">
        <f>E12/E7</f>
        <v>20.716101694915253</v>
      </c>
      <c r="F13" s="18"/>
    </row>
    <row r="14" spans="1:9" ht="15.75" thickBot="1" x14ac:dyDescent="0.3">
      <c r="A14" s="14"/>
      <c r="B14" s="14"/>
      <c r="C14" s="14"/>
      <c r="D14" s="14"/>
      <c r="E14" s="14"/>
      <c r="F14" s="14"/>
      <c r="G14" s="14"/>
      <c r="H14" s="14"/>
      <c r="I14" s="14"/>
    </row>
    <row r="16" spans="1:9" x14ac:dyDescent="0.25">
      <c r="A16" s="116" t="s">
        <v>233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Views>
    <sheetView workbookViewId="0"/>
  </sheetViews>
  <sheetFormatPr defaultRowHeight="15" x14ac:dyDescent="0.25"/>
  <cols>
    <col min="1" max="1" width="2.85546875" customWidth="1"/>
    <col min="2" max="2" width="34.7109375" customWidth="1"/>
    <col min="3" max="6" width="10.85546875" customWidth="1"/>
    <col min="7" max="7" width="3.85546875" customWidth="1"/>
  </cols>
  <sheetData>
    <row r="1" spans="1:8" ht="15.75" x14ac:dyDescent="0.25">
      <c r="A1" s="115" t="s">
        <v>234</v>
      </c>
    </row>
    <row r="3" spans="1:8" ht="15.75" thickBot="1" x14ac:dyDescent="0.3">
      <c r="A3" s="14"/>
      <c r="B3" s="14"/>
      <c r="C3" s="35"/>
      <c r="D3" s="35"/>
      <c r="E3" s="35"/>
      <c r="F3" s="35"/>
      <c r="G3" s="35"/>
      <c r="H3" s="30"/>
    </row>
    <row r="5" spans="1:8" x14ac:dyDescent="0.25">
      <c r="A5" s="4" t="s">
        <v>181</v>
      </c>
      <c r="B5" s="3"/>
      <c r="C5" s="8" t="s">
        <v>182</v>
      </c>
      <c r="D5" s="8" t="s">
        <v>183</v>
      </c>
      <c r="E5" s="8" t="s">
        <v>98</v>
      </c>
      <c r="F5" s="8" t="s">
        <v>99</v>
      </c>
      <c r="G5" s="3"/>
    </row>
    <row r="6" spans="1:8" x14ac:dyDescent="0.25">
      <c r="B6" s="59"/>
      <c r="C6" s="17"/>
      <c r="D6" s="17"/>
      <c r="E6" s="17"/>
      <c r="F6" s="17"/>
    </row>
    <row r="7" spans="1:8" x14ac:dyDescent="0.25">
      <c r="A7" t="s">
        <v>171</v>
      </c>
      <c r="C7" s="67">
        <v>158</v>
      </c>
      <c r="D7" s="67">
        <v>345</v>
      </c>
      <c r="E7" s="67">
        <v>1227</v>
      </c>
      <c r="F7" s="67">
        <v>129</v>
      </c>
    </row>
    <row r="8" spans="1:8" x14ac:dyDescent="0.25">
      <c r="B8" s="29" t="s">
        <v>173</v>
      </c>
      <c r="C8" s="40">
        <v>0.42</v>
      </c>
      <c r="D8" s="40">
        <v>0.36</v>
      </c>
      <c r="E8" s="40">
        <v>0.57699999999999996</v>
      </c>
      <c r="F8" s="40">
        <v>0.153</v>
      </c>
    </row>
    <row r="9" spans="1:8" x14ac:dyDescent="0.25">
      <c r="B9" t="s">
        <v>174</v>
      </c>
      <c r="C9" s="68">
        <v>0.6</v>
      </c>
      <c r="D9" s="68">
        <v>6.6</v>
      </c>
      <c r="E9" s="68">
        <v>48.6</v>
      </c>
      <c r="F9" s="68">
        <v>104.3</v>
      </c>
    </row>
    <row r="10" spans="1:8" x14ac:dyDescent="0.25">
      <c r="B10" t="s">
        <v>176</v>
      </c>
      <c r="C10" s="69">
        <v>26</v>
      </c>
      <c r="D10" s="69">
        <v>6</v>
      </c>
      <c r="E10" s="69">
        <v>2</v>
      </c>
      <c r="F10" s="69">
        <v>3</v>
      </c>
    </row>
    <row r="11" spans="1:8" x14ac:dyDescent="0.25">
      <c r="B11" t="s">
        <v>178</v>
      </c>
      <c r="C11" s="70">
        <v>365</v>
      </c>
      <c r="D11" s="70">
        <v>365</v>
      </c>
      <c r="E11" s="70">
        <v>365</v>
      </c>
      <c r="F11" s="70">
        <v>365</v>
      </c>
    </row>
    <row r="12" spans="1:8" x14ac:dyDescent="0.25">
      <c r="B12" s="7" t="s">
        <v>179</v>
      </c>
      <c r="C12" s="65">
        <f>C7*C8*C9*C10*C11/1000</f>
        <v>377.85383999999999</v>
      </c>
      <c r="D12" s="65">
        <f t="shared" ref="D12:F12" si="0">D7*D8*D9*D10*D11/1000</f>
        <v>1795.1867999999997</v>
      </c>
      <c r="E12" s="65">
        <f t="shared" si="0"/>
        <v>25117.678962000002</v>
      </c>
      <c r="F12" s="65">
        <f t="shared" si="0"/>
        <v>2254.1331644999996</v>
      </c>
    </row>
    <row r="13" spans="1:8" x14ac:dyDescent="0.25">
      <c r="B13" s="7" t="s">
        <v>180</v>
      </c>
      <c r="C13" s="66">
        <f>C12/C7</f>
        <v>2.3914800000000001</v>
      </c>
      <c r="D13" s="66">
        <f t="shared" ref="D13:F13" si="1">D12/D7</f>
        <v>5.2034399999999996</v>
      </c>
      <c r="E13" s="66">
        <f t="shared" si="1"/>
        <v>20.470806000000003</v>
      </c>
      <c r="F13" s="66">
        <f t="shared" si="1"/>
        <v>17.473900499999996</v>
      </c>
    </row>
    <row r="14" spans="1:8" ht="15.75" thickBot="1" x14ac:dyDescent="0.3">
      <c r="A14" s="14"/>
      <c r="B14" s="14"/>
      <c r="C14" s="14"/>
      <c r="D14" s="14"/>
      <c r="E14" s="14"/>
      <c r="F14" s="14"/>
      <c r="G14" s="14"/>
    </row>
    <row r="16" spans="1:8" x14ac:dyDescent="0.25">
      <c r="A16" s="117" t="s">
        <v>235</v>
      </c>
    </row>
    <row r="17" spans="2:2" x14ac:dyDescent="0.25">
      <c r="B17" s="117" t="s">
        <v>236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Views>
    <sheetView workbookViewId="0">
      <selection activeCell="H25" sqref="H25"/>
    </sheetView>
  </sheetViews>
  <sheetFormatPr defaultRowHeight="15" x14ac:dyDescent="0.25"/>
  <cols>
    <col min="1" max="2" width="3.85546875" customWidth="1"/>
    <col min="3" max="3" width="22.85546875" customWidth="1"/>
    <col min="4" max="5" width="10.85546875" customWidth="1"/>
    <col min="6" max="6" width="3.85546875" customWidth="1"/>
  </cols>
  <sheetData>
    <row r="1" spans="1:6" ht="15.75" x14ac:dyDescent="0.25">
      <c r="A1" s="115" t="s">
        <v>237</v>
      </c>
    </row>
    <row r="3" spans="1:6" ht="15.75" thickBot="1" x14ac:dyDescent="0.3">
      <c r="A3" s="14"/>
      <c r="B3" s="14"/>
      <c r="C3" s="14"/>
      <c r="D3" s="14"/>
      <c r="E3" s="14"/>
      <c r="F3" s="14"/>
    </row>
    <row r="4" spans="1:6" x14ac:dyDescent="0.25">
      <c r="A4" s="3"/>
      <c r="B4" s="3"/>
      <c r="C4" s="4"/>
      <c r="D4" s="4">
        <v>2015</v>
      </c>
      <c r="E4" s="4">
        <v>2016</v>
      </c>
    </row>
    <row r="5" spans="1:6" ht="8.1" customHeight="1" x14ac:dyDescent="0.25">
      <c r="C5" s="5"/>
      <c r="D5" s="5"/>
      <c r="E5" s="5"/>
      <c r="F5" s="5"/>
    </row>
    <row r="6" spans="1:6" x14ac:dyDescent="0.25">
      <c r="A6" s="1" t="s">
        <v>0</v>
      </c>
      <c r="B6" s="1"/>
      <c r="C6" s="1"/>
      <c r="D6" s="52">
        <v>58.7</v>
      </c>
      <c r="E6" s="52">
        <v>404.5</v>
      </c>
      <c r="F6" s="5"/>
    </row>
    <row r="7" spans="1:6" x14ac:dyDescent="0.25">
      <c r="A7" s="1" t="s">
        <v>1</v>
      </c>
      <c r="D7" s="5"/>
      <c r="E7" s="5"/>
      <c r="F7" s="5"/>
    </row>
    <row r="8" spans="1:6" x14ac:dyDescent="0.25">
      <c r="B8" t="s">
        <v>2</v>
      </c>
      <c r="D8" s="5">
        <v>182.3</v>
      </c>
      <c r="E8" s="5">
        <v>451.7</v>
      </c>
      <c r="F8" s="5"/>
    </row>
    <row r="9" spans="1:6" x14ac:dyDescent="0.25">
      <c r="B9" t="s">
        <v>145</v>
      </c>
      <c r="D9" s="5">
        <v>82.2</v>
      </c>
      <c r="E9" s="5">
        <v>183.7</v>
      </c>
      <c r="F9" s="5"/>
    </row>
    <row r="10" spans="1:6" x14ac:dyDescent="0.25">
      <c r="B10" t="s">
        <v>146</v>
      </c>
      <c r="D10" s="5">
        <v>27.2</v>
      </c>
      <c r="E10" s="5">
        <v>124.4</v>
      </c>
      <c r="F10" s="5"/>
    </row>
    <row r="11" spans="1:6" x14ac:dyDescent="0.25">
      <c r="B11" t="s">
        <v>147</v>
      </c>
      <c r="D11" s="51">
        <v>148.6</v>
      </c>
      <c r="E11" s="51">
        <v>165.2</v>
      </c>
      <c r="F11" s="5"/>
    </row>
    <row r="12" spans="1:6" x14ac:dyDescent="0.25">
      <c r="C12" s="1" t="s">
        <v>141</v>
      </c>
      <c r="D12" s="5">
        <v>440.4</v>
      </c>
      <c r="E12" s="5">
        <v>924.9</v>
      </c>
      <c r="F12" s="5"/>
    </row>
    <row r="13" spans="1:6" ht="8.1" customHeight="1" x14ac:dyDescent="0.25">
      <c r="D13" s="5"/>
      <c r="E13" s="5"/>
      <c r="F13" s="5"/>
    </row>
    <row r="14" spans="1:6" x14ac:dyDescent="0.25">
      <c r="A14" s="1" t="s">
        <v>140</v>
      </c>
      <c r="D14" s="52">
        <v>-381.7</v>
      </c>
      <c r="E14" s="52">
        <v>-520.4</v>
      </c>
      <c r="F14" s="5"/>
    </row>
    <row r="15" spans="1:6" x14ac:dyDescent="0.25">
      <c r="B15" t="s">
        <v>148</v>
      </c>
      <c r="D15" s="5">
        <v>1.4</v>
      </c>
      <c r="E15" s="5">
        <v>3.3</v>
      </c>
      <c r="F15" s="5"/>
    </row>
    <row r="16" spans="1:6" x14ac:dyDescent="0.25">
      <c r="B16" t="s">
        <v>142</v>
      </c>
      <c r="D16" s="51">
        <v>-0.15</v>
      </c>
      <c r="E16" s="51">
        <v>-4.5999999999999996</v>
      </c>
      <c r="F16" s="5"/>
    </row>
    <row r="17" spans="1:6" x14ac:dyDescent="0.25">
      <c r="B17" t="s">
        <v>143</v>
      </c>
      <c r="D17" s="5">
        <v>-380.5</v>
      </c>
      <c r="E17" s="5">
        <v>-521.70000000000005</v>
      </c>
      <c r="F17" s="5"/>
    </row>
    <row r="18" spans="1:6" ht="15.75" thickBot="1" x14ac:dyDescent="0.3">
      <c r="B18" t="s">
        <v>144</v>
      </c>
      <c r="D18" s="53">
        <v>7.6</v>
      </c>
      <c r="E18" s="53">
        <v>7.1</v>
      </c>
      <c r="F18" s="5"/>
    </row>
    <row r="19" spans="1:6" ht="15.75" thickTop="1" x14ac:dyDescent="0.25">
      <c r="A19" s="1" t="s">
        <v>129</v>
      </c>
      <c r="D19" s="52">
        <v>-372.9</v>
      </c>
      <c r="E19" s="52">
        <v>-514.6</v>
      </c>
      <c r="F19" s="5"/>
    </row>
    <row r="20" spans="1:6" ht="8.1" customHeight="1" thickBot="1" x14ac:dyDescent="0.3">
      <c r="A20" s="14"/>
      <c r="B20" s="14"/>
      <c r="C20" s="50"/>
      <c r="D20" s="50"/>
      <c r="E20" s="50"/>
      <c r="F20" s="14"/>
    </row>
    <row r="21" spans="1:6" x14ac:dyDescent="0.25">
      <c r="C21" s="5"/>
      <c r="D21" s="5"/>
      <c r="E21" s="5"/>
      <c r="F21" s="5"/>
    </row>
    <row r="22" spans="1:6" x14ac:dyDescent="0.25">
      <c r="A22" s="116" t="s">
        <v>238</v>
      </c>
      <c r="C22" s="5"/>
      <c r="D22" s="5"/>
      <c r="E22" s="5"/>
      <c r="F22" s="5"/>
    </row>
    <row r="23" spans="1:6" x14ac:dyDescent="0.25">
      <c r="C23" s="5"/>
      <c r="D23" s="5"/>
      <c r="E23" s="5"/>
      <c r="F23" s="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
  <sheetViews>
    <sheetView workbookViewId="0">
      <selection activeCell="J26" sqref="J26"/>
    </sheetView>
  </sheetViews>
  <sheetFormatPr defaultRowHeight="15" x14ac:dyDescent="0.25"/>
  <cols>
    <col min="1" max="1" width="5.85546875" customWidth="1"/>
    <col min="2" max="2" width="7.42578125" customWidth="1"/>
    <col min="3" max="3" width="8.140625" customWidth="1"/>
    <col min="4" max="4" width="10.85546875" customWidth="1"/>
    <col min="5" max="5" width="8.85546875" customWidth="1"/>
    <col min="6" max="6" width="10.85546875" customWidth="1"/>
    <col min="7" max="7" width="2.85546875" customWidth="1"/>
    <col min="8" max="8" width="8.85546875" customWidth="1"/>
    <col min="9" max="10" width="9.85546875" customWidth="1"/>
    <col min="11" max="11" width="2.85546875" customWidth="1"/>
    <col min="12" max="12" width="8.28515625" customWidth="1"/>
    <col min="13" max="13" width="3.85546875" customWidth="1"/>
    <col min="14" max="14" width="9.85546875" customWidth="1"/>
    <col min="15" max="15" width="2.85546875" customWidth="1"/>
  </cols>
  <sheetData>
    <row r="1" spans="1:13" ht="15.75" x14ac:dyDescent="0.25">
      <c r="A1" s="115" t="s">
        <v>239</v>
      </c>
    </row>
    <row r="2" spans="1:13" ht="18.75" x14ac:dyDescent="0.3">
      <c r="A2" s="2"/>
    </row>
    <row r="3" spans="1:13" ht="15.75" thickBot="1" x14ac:dyDescent="0.3">
      <c r="A3" s="14"/>
      <c r="B3" s="14"/>
      <c r="C3" s="14"/>
      <c r="D3" s="14"/>
      <c r="E3" s="14"/>
      <c r="F3" s="14"/>
      <c r="G3" s="14"/>
      <c r="H3" s="14"/>
      <c r="I3" s="14"/>
      <c r="J3" s="14"/>
      <c r="K3" s="14"/>
      <c r="L3" s="14"/>
      <c r="M3" s="14"/>
    </row>
    <row r="4" spans="1:13" x14ac:dyDescent="0.25">
      <c r="B4" s="126" t="s">
        <v>150</v>
      </c>
      <c r="C4" s="126"/>
      <c r="D4" s="126"/>
      <c r="E4" s="126"/>
      <c r="F4" s="126"/>
      <c r="G4" s="10"/>
    </row>
    <row r="5" spans="1:13" x14ac:dyDescent="0.25">
      <c r="B5" s="7" t="s">
        <v>10</v>
      </c>
      <c r="C5" s="7"/>
      <c r="D5" s="7" t="s">
        <v>19</v>
      </c>
      <c r="E5" s="7"/>
      <c r="F5" s="7" t="s">
        <v>20</v>
      </c>
      <c r="G5" s="7"/>
    </row>
    <row r="6" spans="1:13" x14ac:dyDescent="0.25">
      <c r="B6" s="7" t="s">
        <v>11</v>
      </c>
      <c r="C6" s="7"/>
      <c r="D6" s="7" t="s">
        <v>21</v>
      </c>
      <c r="E6" s="7"/>
      <c r="F6" s="7" t="s">
        <v>21</v>
      </c>
      <c r="G6" s="7"/>
      <c r="H6" s="126" t="s">
        <v>152</v>
      </c>
      <c r="I6" s="126"/>
      <c r="J6" s="126"/>
    </row>
    <row r="7" spans="1:13" x14ac:dyDescent="0.25">
      <c r="B7" s="7" t="s">
        <v>13</v>
      </c>
      <c r="C7" s="7" t="s">
        <v>24</v>
      </c>
      <c r="D7" s="7" t="s">
        <v>18</v>
      </c>
      <c r="E7" s="7" t="s">
        <v>24</v>
      </c>
      <c r="F7" s="7" t="s">
        <v>18</v>
      </c>
      <c r="G7" s="7"/>
      <c r="H7" s="7"/>
      <c r="I7" s="7" t="s">
        <v>15</v>
      </c>
      <c r="J7" s="7" t="s">
        <v>16</v>
      </c>
      <c r="L7" s="7" t="s">
        <v>22</v>
      </c>
      <c r="M7" s="7"/>
    </row>
    <row r="8" spans="1:13" x14ac:dyDescent="0.25">
      <c r="A8" s="3"/>
      <c r="B8" s="8" t="s">
        <v>14</v>
      </c>
      <c r="C8" s="8" t="s">
        <v>25</v>
      </c>
      <c r="D8" s="8" t="s">
        <v>12</v>
      </c>
      <c r="E8" s="8" t="s">
        <v>149</v>
      </c>
      <c r="F8" s="8" t="s">
        <v>12</v>
      </c>
      <c r="G8" s="8"/>
      <c r="H8" s="8" t="s">
        <v>0</v>
      </c>
      <c r="I8" s="8" t="s">
        <v>0</v>
      </c>
      <c r="J8" s="8" t="s">
        <v>17</v>
      </c>
      <c r="K8" s="3"/>
      <c r="L8" s="11" t="s">
        <v>23</v>
      </c>
      <c r="M8" s="11"/>
    </row>
    <row r="9" spans="1:13" ht="8.1" customHeight="1" x14ac:dyDescent="0.25"/>
    <row r="10" spans="1:13" x14ac:dyDescent="0.25">
      <c r="A10" t="s">
        <v>125</v>
      </c>
      <c r="B10">
        <v>158</v>
      </c>
      <c r="C10" s="56">
        <f>(B10-B11)/B11</f>
        <v>3.2679738562091505E-2</v>
      </c>
      <c r="D10" s="9">
        <v>1.05</v>
      </c>
      <c r="E10" s="56">
        <f>(D10-D11)/D11</f>
        <v>0.25000000000000011</v>
      </c>
      <c r="F10" s="9">
        <v>2.15</v>
      </c>
      <c r="G10" s="9"/>
      <c r="H10" s="5">
        <v>165.7</v>
      </c>
      <c r="I10" s="5">
        <v>153.4</v>
      </c>
      <c r="J10" s="5">
        <v>-169.7</v>
      </c>
      <c r="L10" s="12">
        <f>(H10-I10)/H10</f>
        <v>7.4230537115268461E-2</v>
      </c>
      <c r="M10" s="12"/>
    </row>
    <row r="11" spans="1:13" x14ac:dyDescent="0.25">
      <c r="A11" t="s">
        <v>8</v>
      </c>
      <c r="B11">
        <v>153</v>
      </c>
      <c r="C11" s="56">
        <f t="shared" ref="C11:C20" si="0">(B11-B12)/B12</f>
        <v>6.9930069930069935E-2</v>
      </c>
      <c r="D11" s="9">
        <v>0.84</v>
      </c>
      <c r="E11" s="56">
        <f t="shared" ref="E11:E16" si="1">(D11-D12)/D12</f>
        <v>0.67999999999999994</v>
      </c>
      <c r="F11" s="9">
        <v>1.76</v>
      </c>
      <c r="G11" s="9"/>
      <c r="H11" s="5">
        <v>128.19999999999999</v>
      </c>
      <c r="I11" s="5">
        <v>127.8</v>
      </c>
      <c r="J11" s="5">
        <v>-131</v>
      </c>
      <c r="L11" s="12">
        <f t="shared" ref="L11:L14" si="2">(H11-I11)/H11</f>
        <v>3.1201248049921334E-3</v>
      </c>
      <c r="M11" s="12"/>
    </row>
    <row r="12" spans="1:13" x14ac:dyDescent="0.25">
      <c r="A12" t="s">
        <v>7</v>
      </c>
      <c r="B12">
        <v>143</v>
      </c>
      <c r="C12" s="56">
        <f t="shared" si="0"/>
        <v>0.1721311475409836</v>
      </c>
      <c r="D12" s="9">
        <v>0.5</v>
      </c>
      <c r="E12" s="56">
        <f t="shared" si="1"/>
        <v>0.5625</v>
      </c>
      <c r="F12" s="9">
        <v>1.06</v>
      </c>
      <c r="G12" s="9"/>
      <c r="H12" s="5">
        <v>71.8</v>
      </c>
      <c r="I12" s="5">
        <v>94.8</v>
      </c>
      <c r="J12" s="5">
        <v>-115.9</v>
      </c>
      <c r="L12" s="12">
        <f t="shared" si="2"/>
        <v>-0.3203342618384401</v>
      </c>
      <c r="M12" s="12"/>
    </row>
    <row r="13" spans="1:13" x14ac:dyDescent="0.25">
      <c r="A13" t="s">
        <v>9</v>
      </c>
      <c r="B13">
        <v>122</v>
      </c>
      <c r="C13" s="56">
        <f t="shared" si="0"/>
        <v>0.14018691588785046</v>
      </c>
      <c r="D13" s="9">
        <v>0.32</v>
      </c>
      <c r="E13" s="56">
        <f t="shared" si="1"/>
        <v>3.2258064516129059E-2</v>
      </c>
      <c r="F13" s="9">
        <v>0.67</v>
      </c>
      <c r="G13" s="9"/>
      <c r="H13" s="5">
        <v>38.799999999999997</v>
      </c>
      <c r="I13" s="5">
        <v>75.8</v>
      </c>
      <c r="J13" s="5">
        <v>-103.8</v>
      </c>
      <c r="L13" s="12">
        <f t="shared" si="2"/>
        <v>-0.95360824742268047</v>
      </c>
      <c r="M13" s="12"/>
    </row>
    <row r="14" spans="1:13" x14ac:dyDescent="0.25">
      <c r="A14" t="s">
        <v>126</v>
      </c>
      <c r="B14">
        <v>107</v>
      </c>
      <c r="C14" s="56">
        <f t="shared" si="0"/>
        <v>0.13829787234042554</v>
      </c>
      <c r="D14" s="9">
        <v>0.31</v>
      </c>
      <c r="E14" s="56">
        <f t="shared" si="1"/>
        <v>0.72222222222222232</v>
      </c>
      <c r="F14" s="9">
        <v>0.65</v>
      </c>
      <c r="G14" s="9"/>
      <c r="H14" s="5">
        <v>32.700000000000003</v>
      </c>
      <c r="I14" s="5">
        <v>64.8</v>
      </c>
      <c r="J14" s="5">
        <v>-98.2</v>
      </c>
      <c r="L14" s="12">
        <f t="shared" si="2"/>
        <v>-0.98165137614678877</v>
      </c>
      <c r="M14" s="12"/>
    </row>
    <row r="15" spans="1:13" x14ac:dyDescent="0.25">
      <c r="A15" t="s">
        <v>8</v>
      </c>
      <c r="B15">
        <v>94</v>
      </c>
      <c r="C15" s="56">
        <f t="shared" si="0"/>
        <v>9.3023255813953487E-2</v>
      </c>
      <c r="D15" s="9">
        <v>0.18</v>
      </c>
      <c r="E15" s="56">
        <f t="shared" si="1"/>
        <v>2</v>
      </c>
      <c r="F15" s="9">
        <v>0.36</v>
      </c>
      <c r="G15" s="9"/>
      <c r="H15" s="5">
        <v>16.7</v>
      </c>
      <c r="I15" s="5">
        <v>56.2</v>
      </c>
      <c r="J15" s="5">
        <v>-96.9</v>
      </c>
    </row>
    <row r="16" spans="1:13" x14ac:dyDescent="0.25">
      <c r="A16" t="s">
        <v>7</v>
      </c>
      <c r="B16">
        <v>86</v>
      </c>
      <c r="C16" s="56">
        <f t="shared" si="0"/>
        <v>7.4999999999999997E-2</v>
      </c>
      <c r="D16" s="9">
        <v>0.06</v>
      </c>
      <c r="E16" s="56">
        <f t="shared" si="1"/>
        <v>0.1999999999999999</v>
      </c>
      <c r="F16" s="9">
        <v>0.13</v>
      </c>
      <c r="G16" s="9"/>
      <c r="H16" s="5">
        <v>5.3</v>
      </c>
      <c r="I16" s="5">
        <v>40.6</v>
      </c>
      <c r="J16" s="5">
        <v>-87.8</v>
      </c>
    </row>
    <row r="17" spans="1:13" x14ac:dyDescent="0.25">
      <c r="A17" t="s">
        <v>9</v>
      </c>
      <c r="B17">
        <v>80</v>
      </c>
      <c r="C17" s="56">
        <f t="shared" si="0"/>
        <v>0.12676056338028169</v>
      </c>
      <c r="D17" s="9">
        <v>0.05</v>
      </c>
      <c r="E17" s="13"/>
      <c r="F17" s="9">
        <v>0.1</v>
      </c>
      <c r="G17" s="9"/>
      <c r="H17" s="5">
        <v>3.9</v>
      </c>
      <c r="I17" s="5">
        <v>20.7</v>
      </c>
      <c r="J17" s="5">
        <v>-98.8</v>
      </c>
    </row>
    <row r="18" spans="1:13" x14ac:dyDescent="0.25">
      <c r="A18" t="s">
        <v>127</v>
      </c>
      <c r="B18">
        <v>71</v>
      </c>
      <c r="C18" s="56">
        <f t="shared" si="0"/>
        <v>0.14516129032258066</v>
      </c>
      <c r="D18" s="9"/>
      <c r="F18" s="9"/>
      <c r="G18" s="9"/>
      <c r="H18" s="55"/>
      <c r="I18" s="55"/>
      <c r="J18" s="55"/>
    </row>
    <row r="19" spans="1:13" x14ac:dyDescent="0.25">
      <c r="A19" t="s">
        <v>8</v>
      </c>
      <c r="B19">
        <v>62</v>
      </c>
      <c r="C19" s="56">
        <f t="shared" si="0"/>
        <v>8.771929824561403E-2</v>
      </c>
      <c r="D19" s="9"/>
      <c r="F19" s="9"/>
      <c r="G19" s="9"/>
      <c r="H19" s="55"/>
      <c r="I19" s="55"/>
      <c r="J19" s="55"/>
    </row>
    <row r="20" spans="1:13" x14ac:dyDescent="0.25">
      <c r="A20" t="s">
        <v>7</v>
      </c>
      <c r="B20">
        <v>57</v>
      </c>
      <c r="C20" s="56">
        <f t="shared" si="0"/>
        <v>0.2391304347826087</v>
      </c>
      <c r="D20" s="9"/>
      <c r="F20" s="9"/>
      <c r="G20" s="9"/>
      <c r="H20" s="55"/>
      <c r="I20" s="55"/>
      <c r="J20" s="55"/>
    </row>
    <row r="21" spans="1:13" x14ac:dyDescent="0.25">
      <c r="A21" t="s">
        <v>9</v>
      </c>
      <c r="B21">
        <v>46</v>
      </c>
      <c r="H21" s="55"/>
      <c r="I21" s="55"/>
      <c r="J21" s="55"/>
    </row>
    <row r="22" spans="1:13" ht="8.1" customHeight="1" thickBot="1" x14ac:dyDescent="0.3">
      <c r="A22" s="14"/>
      <c r="B22" s="14"/>
      <c r="C22" s="14"/>
      <c r="D22" s="14"/>
      <c r="E22" s="14"/>
      <c r="F22" s="14"/>
      <c r="G22" s="14"/>
      <c r="H22" s="14"/>
      <c r="I22" s="14"/>
      <c r="J22" s="14"/>
      <c r="K22" s="14"/>
      <c r="L22" s="14"/>
      <c r="M22" s="14"/>
    </row>
    <row r="24" spans="1:13" x14ac:dyDescent="0.25">
      <c r="A24" s="116" t="s">
        <v>240</v>
      </c>
    </row>
  </sheetData>
  <mergeCells count="2">
    <mergeCell ref="B4:F4"/>
    <mergeCell ref="H6:J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Views>
    <sheetView workbookViewId="0"/>
  </sheetViews>
  <sheetFormatPr defaultRowHeight="15" x14ac:dyDescent="0.25"/>
  <cols>
    <col min="1" max="2" width="3.85546875" customWidth="1"/>
    <col min="3" max="3" width="22.85546875" customWidth="1"/>
    <col min="4" max="5" width="11.85546875" customWidth="1"/>
    <col min="6" max="6" width="3.85546875" customWidth="1"/>
  </cols>
  <sheetData>
    <row r="1" spans="1:6" ht="15.75" x14ac:dyDescent="0.25">
      <c r="A1" s="115" t="s">
        <v>242</v>
      </c>
    </row>
    <row r="4" spans="1:6" ht="15.75" thickBot="1" x14ac:dyDescent="0.3">
      <c r="A4" s="14"/>
      <c r="B4" s="14"/>
      <c r="C4" s="14"/>
      <c r="D4" s="14"/>
      <c r="E4" s="14"/>
      <c r="F4" s="14"/>
    </row>
    <row r="5" spans="1:6" x14ac:dyDescent="0.25">
      <c r="A5" s="3"/>
      <c r="B5" s="3"/>
      <c r="C5" s="3"/>
      <c r="D5" s="4">
        <v>2015</v>
      </c>
      <c r="E5" s="4">
        <v>2016</v>
      </c>
      <c r="F5" s="3"/>
    </row>
    <row r="6" spans="1:6" ht="8.1" customHeight="1" x14ac:dyDescent="0.25">
      <c r="D6" s="5"/>
      <c r="E6" s="5"/>
      <c r="F6" s="5"/>
    </row>
    <row r="7" spans="1:6" x14ac:dyDescent="0.25">
      <c r="A7" s="1" t="s">
        <v>3</v>
      </c>
      <c r="D7" s="5"/>
      <c r="E7" s="5"/>
      <c r="F7" s="5"/>
    </row>
    <row r="8" spans="1:6" x14ac:dyDescent="0.25">
      <c r="B8" t="s">
        <v>4</v>
      </c>
      <c r="D8" s="5"/>
      <c r="E8" s="5"/>
      <c r="F8" s="5"/>
    </row>
    <row r="9" spans="1:6" x14ac:dyDescent="0.25">
      <c r="C9" t="s">
        <v>135</v>
      </c>
      <c r="D9" s="5">
        <v>640.79999999999995</v>
      </c>
      <c r="E9" s="5">
        <v>987.3</v>
      </c>
      <c r="F9" s="5"/>
    </row>
    <row r="10" spans="1:6" x14ac:dyDescent="0.25">
      <c r="C10" t="s">
        <v>5</v>
      </c>
      <c r="D10" s="5">
        <v>44.3</v>
      </c>
      <c r="E10" s="5">
        <v>162.69999999999999</v>
      </c>
      <c r="F10" s="5"/>
    </row>
    <row r="11" spans="1:6" x14ac:dyDescent="0.25">
      <c r="C11" t="s">
        <v>6</v>
      </c>
      <c r="D11" s="51">
        <v>7.4</v>
      </c>
      <c r="E11" s="51">
        <v>30</v>
      </c>
      <c r="F11" s="5"/>
    </row>
    <row r="12" spans="1:6" x14ac:dyDescent="0.25">
      <c r="C12" s="7" t="s">
        <v>217</v>
      </c>
      <c r="D12" s="52">
        <v>692.6</v>
      </c>
      <c r="E12" s="52">
        <v>1180</v>
      </c>
      <c r="F12" s="5"/>
    </row>
    <row r="13" spans="1:6" x14ac:dyDescent="0.25">
      <c r="B13" t="s">
        <v>137</v>
      </c>
      <c r="D13" s="5">
        <v>44.1</v>
      </c>
      <c r="E13" s="5">
        <v>100.6</v>
      </c>
      <c r="F13" s="5"/>
    </row>
    <row r="14" spans="1:6" x14ac:dyDescent="0.25">
      <c r="B14" t="s">
        <v>139</v>
      </c>
      <c r="D14" s="5">
        <v>177.1</v>
      </c>
      <c r="E14" s="5">
        <v>395.1</v>
      </c>
      <c r="F14" s="5"/>
    </row>
    <row r="15" spans="1:6" ht="15.75" thickBot="1" x14ac:dyDescent="0.3">
      <c r="B15" t="s">
        <v>138</v>
      </c>
      <c r="D15" s="53">
        <v>25.1</v>
      </c>
      <c r="E15" s="53">
        <v>47.1</v>
      </c>
      <c r="F15" s="5"/>
    </row>
    <row r="16" spans="1:6" ht="15.75" thickTop="1" x14ac:dyDescent="0.25">
      <c r="C16" s="7" t="s">
        <v>218</v>
      </c>
      <c r="D16" s="52">
        <v>938.9</v>
      </c>
      <c r="E16" s="52">
        <v>1722.8</v>
      </c>
      <c r="F16" s="5"/>
    </row>
    <row r="17" spans="1:6" ht="8.1" customHeight="1" x14ac:dyDescent="0.25">
      <c r="C17" s="7"/>
      <c r="D17" s="52"/>
      <c r="E17" s="52"/>
      <c r="F17" s="5"/>
    </row>
    <row r="18" spans="1:6" x14ac:dyDescent="0.25">
      <c r="A18" s="1" t="s">
        <v>130</v>
      </c>
      <c r="D18" s="5"/>
      <c r="E18" s="5"/>
      <c r="F18" s="5"/>
    </row>
    <row r="19" spans="1:6" x14ac:dyDescent="0.25">
      <c r="B19" t="s">
        <v>131</v>
      </c>
      <c r="D19" s="5"/>
      <c r="E19" s="5"/>
      <c r="F19" s="5"/>
    </row>
    <row r="20" spans="1:6" x14ac:dyDescent="0.25">
      <c r="C20" t="s">
        <v>132</v>
      </c>
      <c r="D20" s="5">
        <v>0.7</v>
      </c>
      <c r="E20" s="5">
        <v>8.4</v>
      </c>
      <c r="F20" s="5"/>
    </row>
    <row r="21" spans="1:6" x14ac:dyDescent="0.25">
      <c r="C21" t="s">
        <v>136</v>
      </c>
      <c r="D21" s="51">
        <v>155.6</v>
      </c>
      <c r="E21" s="51">
        <v>148.30000000000001</v>
      </c>
      <c r="F21" s="5"/>
    </row>
    <row r="22" spans="1:6" x14ac:dyDescent="0.25">
      <c r="C22" s="7" t="s">
        <v>219</v>
      </c>
      <c r="D22" s="52">
        <v>156.30000000000001</v>
      </c>
      <c r="E22" s="52">
        <v>156.69999999999999</v>
      </c>
      <c r="F22" s="5"/>
    </row>
    <row r="23" spans="1:6" x14ac:dyDescent="0.25">
      <c r="B23" t="s">
        <v>133</v>
      </c>
      <c r="D23" s="51">
        <v>18.5</v>
      </c>
      <c r="E23" s="51">
        <v>47.1</v>
      </c>
      <c r="F23" s="5"/>
    </row>
    <row r="24" spans="1:6" x14ac:dyDescent="0.25">
      <c r="C24" s="7" t="s">
        <v>220</v>
      </c>
      <c r="D24" s="52">
        <v>174.8</v>
      </c>
      <c r="E24" s="52">
        <v>203.9</v>
      </c>
      <c r="F24" s="5"/>
    </row>
    <row r="25" spans="1:6" ht="15.75" thickBot="1" x14ac:dyDescent="0.3">
      <c r="B25" t="s">
        <v>134</v>
      </c>
      <c r="D25" s="54">
        <v>764.1</v>
      </c>
      <c r="E25" s="54">
        <v>1518.9</v>
      </c>
      <c r="F25" s="5"/>
    </row>
    <row r="26" spans="1:6" ht="15.75" thickTop="1" x14ac:dyDescent="0.25">
      <c r="C26" s="7" t="s">
        <v>216</v>
      </c>
      <c r="D26" s="52">
        <v>938.9</v>
      </c>
      <c r="E26" s="52">
        <v>1722.8</v>
      </c>
      <c r="F26" s="5"/>
    </row>
    <row r="27" spans="1:6" ht="8.1" customHeight="1" thickBot="1" x14ac:dyDescent="0.3">
      <c r="A27" s="14"/>
      <c r="B27" s="14"/>
      <c r="C27" s="14"/>
      <c r="D27" s="50"/>
      <c r="E27" s="50"/>
      <c r="F27" s="50"/>
    </row>
    <row r="28" spans="1:6" x14ac:dyDescent="0.25">
      <c r="D28" s="5"/>
      <c r="E28" s="5"/>
      <c r="F28" s="5"/>
    </row>
    <row r="29" spans="1:6" x14ac:dyDescent="0.25">
      <c r="A29" s="116" t="s">
        <v>241</v>
      </c>
      <c r="D29" s="5"/>
      <c r="E29" s="5"/>
      <c r="F29" s="5"/>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7"/>
  <sheetViews>
    <sheetView workbookViewId="0">
      <selection activeCell="E22" sqref="E22"/>
    </sheetView>
  </sheetViews>
  <sheetFormatPr defaultRowHeight="15" x14ac:dyDescent="0.25"/>
  <cols>
    <col min="2" max="5" width="10" customWidth="1"/>
    <col min="6" max="7" width="9.85546875" customWidth="1"/>
    <col min="8" max="8" width="3.85546875" customWidth="1"/>
    <col min="12" max="12" width="17.5703125" customWidth="1"/>
    <col min="13" max="13" width="12.140625" customWidth="1"/>
    <col min="14" max="17" width="7.85546875" customWidth="1"/>
  </cols>
  <sheetData>
    <row r="1" spans="1:8" ht="15.75" x14ac:dyDescent="0.25">
      <c r="A1" s="115" t="s">
        <v>243</v>
      </c>
    </row>
    <row r="3" spans="1:8" ht="15.75" thickBot="1" x14ac:dyDescent="0.3">
      <c r="A3" s="14"/>
      <c r="B3" s="14"/>
      <c r="C3" s="14"/>
      <c r="D3" s="14"/>
      <c r="E3" s="14"/>
      <c r="F3" s="14"/>
      <c r="G3" s="14"/>
      <c r="H3" s="14"/>
    </row>
    <row r="4" spans="1:8" x14ac:dyDescent="0.25">
      <c r="A4" s="1"/>
      <c r="B4" s="7"/>
      <c r="C4" s="7"/>
      <c r="D4" s="7"/>
      <c r="E4" s="7"/>
      <c r="F4" s="7" t="s">
        <v>93</v>
      </c>
      <c r="G4" s="7" t="s">
        <v>93</v>
      </c>
    </row>
    <row r="5" spans="1:8" x14ac:dyDescent="0.25">
      <c r="A5" s="1"/>
      <c r="B5" s="127" t="s">
        <v>188</v>
      </c>
      <c r="C5" s="127"/>
      <c r="D5" s="127"/>
      <c r="E5" s="127"/>
      <c r="F5" s="7" t="s">
        <v>92</v>
      </c>
      <c r="G5" s="7" t="s">
        <v>39</v>
      </c>
    </row>
    <row r="6" spans="1:8" x14ac:dyDescent="0.25">
      <c r="A6" s="4" t="s">
        <v>30</v>
      </c>
      <c r="B6" s="8" t="s">
        <v>47</v>
      </c>
      <c r="C6" s="8" t="s">
        <v>72</v>
      </c>
      <c r="D6" s="8" t="s">
        <v>69</v>
      </c>
      <c r="E6" s="8" t="s">
        <v>74</v>
      </c>
      <c r="F6" s="8" t="s">
        <v>128</v>
      </c>
      <c r="G6" s="8" t="s">
        <v>42</v>
      </c>
      <c r="H6" s="3"/>
    </row>
    <row r="7" spans="1:8" ht="8.1" customHeight="1" x14ac:dyDescent="0.25"/>
    <row r="8" spans="1:8" x14ac:dyDescent="0.25">
      <c r="A8" s="36" t="s">
        <v>94</v>
      </c>
      <c r="B8">
        <v>0</v>
      </c>
      <c r="C8">
        <v>2</v>
      </c>
      <c r="D8">
        <v>1</v>
      </c>
      <c r="E8">
        <v>3</v>
      </c>
      <c r="F8" s="24">
        <v>2</v>
      </c>
      <c r="G8" s="9">
        <v>16</v>
      </c>
    </row>
    <row r="9" spans="1:8" x14ac:dyDescent="0.25">
      <c r="A9" s="37" t="s">
        <v>95</v>
      </c>
      <c r="B9">
        <v>0</v>
      </c>
      <c r="C9">
        <v>6</v>
      </c>
      <c r="D9">
        <v>4</v>
      </c>
      <c r="E9">
        <v>10</v>
      </c>
      <c r="F9">
        <v>1.9</v>
      </c>
      <c r="G9" s="9">
        <v>17.5</v>
      </c>
    </row>
    <row r="10" spans="1:8" x14ac:dyDescent="0.25">
      <c r="A10" s="29" t="s">
        <v>96</v>
      </c>
      <c r="B10">
        <v>2</v>
      </c>
      <c r="C10">
        <v>7</v>
      </c>
      <c r="D10">
        <v>7</v>
      </c>
      <c r="E10">
        <v>16</v>
      </c>
      <c r="F10">
        <v>2.5</v>
      </c>
      <c r="G10" s="9">
        <v>19.829999999999998</v>
      </c>
    </row>
    <row r="11" spans="1:8" x14ac:dyDescent="0.25">
      <c r="A11" s="29" t="s">
        <v>97</v>
      </c>
      <c r="B11">
        <v>12</v>
      </c>
      <c r="C11">
        <v>11</v>
      </c>
      <c r="D11">
        <v>7</v>
      </c>
      <c r="E11">
        <v>30</v>
      </c>
      <c r="F11">
        <v>3.4</v>
      </c>
      <c r="G11" s="9">
        <v>23.56</v>
      </c>
    </row>
    <row r="12" spans="1:8" ht="8.1" customHeight="1" thickBot="1" x14ac:dyDescent="0.3">
      <c r="A12" s="14"/>
      <c r="B12" s="14"/>
      <c r="C12" s="14"/>
      <c r="D12" s="14"/>
      <c r="E12" s="14"/>
      <c r="F12" s="14"/>
      <c r="G12" s="14"/>
      <c r="H12" s="14"/>
    </row>
    <row r="14" spans="1:8" x14ac:dyDescent="0.25">
      <c r="A14" s="116" t="s">
        <v>244</v>
      </c>
    </row>
    <row r="15" spans="1:8" x14ac:dyDescent="0.25">
      <c r="A15" s="116" t="s">
        <v>272</v>
      </c>
    </row>
    <row r="23" ht="8.1" customHeight="1" x14ac:dyDescent="0.25"/>
    <row r="27" ht="8.1" customHeight="1" x14ac:dyDescent="0.25"/>
  </sheetData>
  <mergeCells count="1">
    <mergeCell ref="B5:E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8"/>
  <sheetViews>
    <sheetView showGridLines="0" topLeftCell="A26" workbookViewId="0">
      <selection activeCell="A4" sqref="A4:H46"/>
    </sheetView>
  </sheetViews>
  <sheetFormatPr defaultRowHeight="15" x14ac:dyDescent="0.25"/>
  <cols>
    <col min="1" max="1" width="2.85546875" customWidth="1"/>
    <col min="2" max="2" width="16.7109375" customWidth="1"/>
    <col min="3" max="3" width="12.42578125" customWidth="1"/>
    <col min="4" max="4" width="11.140625" customWidth="1"/>
    <col min="5" max="5" width="10.85546875" customWidth="1"/>
    <col min="6" max="6" width="2.28515625" customWidth="1"/>
    <col min="7" max="7" width="16" customWidth="1"/>
    <col min="8" max="10" width="3.85546875" customWidth="1"/>
    <col min="11" max="11" width="8" customWidth="1"/>
    <col min="12" max="12" width="3.85546875" customWidth="1"/>
    <col min="13" max="13" width="10.85546875" customWidth="1"/>
    <col min="17" max="17" width="11.140625" customWidth="1"/>
  </cols>
  <sheetData>
    <row r="1" spans="1:14" ht="15.75" x14ac:dyDescent="0.25">
      <c r="A1" s="115" t="s">
        <v>245</v>
      </c>
    </row>
    <row r="3" spans="1:14" ht="15.75" thickBot="1" x14ac:dyDescent="0.3">
      <c r="A3" s="14"/>
      <c r="B3" s="14"/>
      <c r="C3" s="14"/>
      <c r="D3" s="14"/>
      <c r="E3" s="14"/>
      <c r="F3" s="14"/>
      <c r="G3" s="14"/>
      <c r="H3" s="14"/>
      <c r="K3" t="s">
        <v>271</v>
      </c>
    </row>
    <row r="4" spans="1:14" x14ac:dyDescent="0.25">
      <c r="D4" s="7" t="s">
        <v>186</v>
      </c>
      <c r="E4" s="7"/>
      <c r="F4" s="7"/>
      <c r="G4" s="7" t="s">
        <v>187</v>
      </c>
      <c r="H4" s="7"/>
    </row>
    <row r="5" spans="1:14" x14ac:dyDescent="0.25">
      <c r="B5" s="1"/>
      <c r="C5" s="7" t="s">
        <v>35</v>
      </c>
      <c r="D5" s="7" t="s">
        <v>38</v>
      </c>
      <c r="E5" s="7" t="s">
        <v>39</v>
      </c>
      <c r="F5" s="7"/>
      <c r="G5" s="7" t="s">
        <v>40</v>
      </c>
      <c r="H5" s="7"/>
    </row>
    <row r="6" spans="1:14" x14ac:dyDescent="0.25">
      <c r="A6" s="4" t="s">
        <v>80</v>
      </c>
      <c r="B6" s="4"/>
      <c r="C6" s="8" t="s">
        <v>30</v>
      </c>
      <c r="D6" s="8" t="s">
        <v>41</v>
      </c>
      <c r="E6" s="8" t="s">
        <v>42</v>
      </c>
      <c r="F6" s="8"/>
      <c r="G6" s="8" t="s">
        <v>43</v>
      </c>
      <c r="H6" s="8"/>
      <c r="K6" s="8" t="s">
        <v>88</v>
      </c>
      <c r="M6" s="4" t="s">
        <v>269</v>
      </c>
      <c r="N6" s="4"/>
    </row>
    <row r="7" spans="1:14" ht="8.1" customHeight="1" x14ac:dyDescent="0.25"/>
    <row r="8" spans="1:14" x14ac:dyDescent="0.25">
      <c r="A8" s="1" t="s">
        <v>203</v>
      </c>
      <c r="C8" s="15"/>
      <c r="D8" s="13"/>
      <c r="E8" s="27"/>
      <c r="F8" s="27"/>
      <c r="G8" s="73"/>
    </row>
    <row r="9" spans="1:14" x14ac:dyDescent="0.25">
      <c r="A9" s="1"/>
      <c r="B9" t="s">
        <v>82</v>
      </c>
      <c r="C9" s="15">
        <v>42795</v>
      </c>
      <c r="D9" s="81" t="s">
        <v>205</v>
      </c>
      <c r="E9" s="9">
        <v>15</v>
      </c>
      <c r="F9" s="9"/>
      <c r="G9" s="121" t="s">
        <v>49</v>
      </c>
      <c r="K9">
        <v>1</v>
      </c>
    </row>
    <row r="10" spans="1:14" x14ac:dyDescent="0.25">
      <c r="B10" t="s">
        <v>48</v>
      </c>
      <c r="C10" s="20">
        <v>42796</v>
      </c>
      <c r="D10" s="81" t="s">
        <v>205</v>
      </c>
      <c r="E10" s="21">
        <v>22</v>
      </c>
      <c r="F10" s="21"/>
      <c r="G10" s="122" t="s">
        <v>72</v>
      </c>
      <c r="K10">
        <v>2</v>
      </c>
      <c r="M10" t="s">
        <v>267</v>
      </c>
      <c r="N10">
        <v>1</v>
      </c>
    </row>
    <row r="11" spans="1:14" x14ac:dyDescent="0.25">
      <c r="B11" t="s">
        <v>123</v>
      </c>
      <c r="C11" s="20">
        <v>42796</v>
      </c>
      <c r="D11" s="81" t="s">
        <v>205</v>
      </c>
      <c r="E11" s="21">
        <v>16</v>
      </c>
      <c r="F11" s="21"/>
      <c r="G11" s="73" t="s">
        <v>124</v>
      </c>
      <c r="K11">
        <v>3</v>
      </c>
      <c r="M11" t="s">
        <v>47</v>
      </c>
      <c r="N11">
        <v>2</v>
      </c>
    </row>
    <row r="12" spans="1:14" x14ac:dyDescent="0.25">
      <c r="B12" t="s">
        <v>68</v>
      </c>
      <c r="C12" s="20">
        <v>42796</v>
      </c>
      <c r="D12" s="81" t="s">
        <v>205</v>
      </c>
      <c r="E12" s="21">
        <v>10</v>
      </c>
      <c r="F12" s="21"/>
      <c r="G12" s="73" t="s">
        <v>69</v>
      </c>
      <c r="K12">
        <v>4</v>
      </c>
      <c r="M12" t="s">
        <v>72</v>
      </c>
      <c r="N12">
        <v>7</v>
      </c>
    </row>
    <row r="13" spans="1:14" x14ac:dyDescent="0.25">
      <c r="B13" t="s">
        <v>263</v>
      </c>
      <c r="C13" s="20">
        <v>42797</v>
      </c>
      <c r="D13" s="81" t="s">
        <v>205</v>
      </c>
      <c r="E13" s="21">
        <v>14</v>
      </c>
      <c r="F13" s="21"/>
      <c r="G13" s="73" t="s">
        <v>51</v>
      </c>
      <c r="K13">
        <v>5</v>
      </c>
      <c r="M13" t="s">
        <v>69</v>
      </c>
      <c r="N13" s="3">
        <v>7</v>
      </c>
    </row>
    <row r="14" spans="1:14" x14ac:dyDescent="0.25">
      <c r="B14" t="s">
        <v>70</v>
      </c>
      <c r="C14" s="20">
        <v>42797</v>
      </c>
      <c r="D14" s="81" t="s">
        <v>205</v>
      </c>
      <c r="E14" s="21">
        <v>22</v>
      </c>
      <c r="F14" s="21"/>
      <c r="G14" s="122" t="s">
        <v>59</v>
      </c>
      <c r="K14">
        <v>6</v>
      </c>
      <c r="M14" s="7" t="s">
        <v>74</v>
      </c>
      <c r="N14" s="1">
        <f>SUM(N10:N13)</f>
        <v>17</v>
      </c>
    </row>
    <row r="15" spans="1:14" x14ac:dyDescent="0.25">
      <c r="B15" t="s">
        <v>56</v>
      </c>
      <c r="C15" s="20">
        <v>42803</v>
      </c>
      <c r="D15" s="81" t="s">
        <v>205</v>
      </c>
      <c r="E15" s="21">
        <v>23</v>
      </c>
      <c r="F15" s="21"/>
      <c r="G15" s="122" t="s">
        <v>57</v>
      </c>
      <c r="K15">
        <v>7</v>
      </c>
    </row>
    <row r="16" spans="1:14" x14ac:dyDescent="0.25">
      <c r="B16" t="s">
        <v>50</v>
      </c>
      <c r="C16" s="15">
        <v>42808</v>
      </c>
      <c r="D16" s="81" t="s">
        <v>205</v>
      </c>
      <c r="E16" s="9">
        <v>18</v>
      </c>
      <c r="F16" s="9"/>
      <c r="G16" s="73" t="s">
        <v>51</v>
      </c>
      <c r="K16">
        <v>8</v>
      </c>
    </row>
    <row r="17" spans="1:14" x14ac:dyDescent="0.25">
      <c r="B17" t="s">
        <v>266</v>
      </c>
      <c r="C17" s="15">
        <v>42810</v>
      </c>
      <c r="D17" s="81" t="s">
        <v>205</v>
      </c>
      <c r="E17" s="9">
        <v>15</v>
      </c>
      <c r="F17" s="9"/>
      <c r="G17" s="73" t="s">
        <v>69</v>
      </c>
      <c r="K17">
        <v>9</v>
      </c>
    </row>
    <row r="18" spans="1:14" x14ac:dyDescent="0.25">
      <c r="B18" t="s">
        <v>264</v>
      </c>
      <c r="C18" s="15">
        <v>42811</v>
      </c>
      <c r="D18" s="81" t="s">
        <v>205</v>
      </c>
      <c r="E18" s="9">
        <v>20</v>
      </c>
      <c r="F18" s="9"/>
      <c r="G18" s="122" t="s">
        <v>59</v>
      </c>
      <c r="K18">
        <v>10</v>
      </c>
    </row>
    <row r="19" spans="1:14" x14ac:dyDescent="0.25">
      <c r="B19" t="s">
        <v>167</v>
      </c>
      <c r="C19" s="15">
        <v>42814</v>
      </c>
      <c r="D19" s="81" t="s">
        <v>205</v>
      </c>
      <c r="E19" s="9">
        <v>25</v>
      </c>
      <c r="F19" s="9"/>
      <c r="G19" s="120" t="s">
        <v>47</v>
      </c>
      <c r="K19">
        <v>11</v>
      </c>
    </row>
    <row r="20" spans="1:14" x14ac:dyDescent="0.25">
      <c r="B20" t="s">
        <v>265</v>
      </c>
      <c r="C20" s="15">
        <v>42815</v>
      </c>
      <c r="D20" s="81" t="s">
        <v>205</v>
      </c>
      <c r="E20" s="9">
        <v>30</v>
      </c>
      <c r="F20" s="9"/>
      <c r="G20" s="120" t="s">
        <v>47</v>
      </c>
      <c r="K20">
        <v>12</v>
      </c>
    </row>
    <row r="21" spans="1:14" x14ac:dyDescent="0.25">
      <c r="B21" t="s">
        <v>67</v>
      </c>
      <c r="C21" s="15">
        <v>42816</v>
      </c>
      <c r="D21" s="81" t="s">
        <v>205</v>
      </c>
      <c r="E21" s="9">
        <v>23</v>
      </c>
      <c r="F21" s="9"/>
      <c r="G21" s="122" t="s">
        <v>59</v>
      </c>
      <c r="K21">
        <v>13</v>
      </c>
    </row>
    <row r="22" spans="1:14" x14ac:dyDescent="0.25">
      <c r="A22" s="1"/>
      <c r="B22" t="s">
        <v>121</v>
      </c>
      <c r="C22" s="15">
        <v>42816</v>
      </c>
      <c r="D22" s="81" t="s">
        <v>205</v>
      </c>
      <c r="E22" s="6" t="s">
        <v>49</v>
      </c>
      <c r="F22" s="6"/>
      <c r="G22" s="73" t="s">
        <v>122</v>
      </c>
      <c r="K22">
        <v>14</v>
      </c>
    </row>
    <row r="23" spans="1:14" x14ac:dyDescent="0.25">
      <c r="A23" s="1"/>
      <c r="B23" t="s">
        <v>83</v>
      </c>
      <c r="C23" s="15">
        <v>42820</v>
      </c>
      <c r="D23" s="81" t="s">
        <v>205</v>
      </c>
      <c r="E23" s="9">
        <v>17</v>
      </c>
      <c r="F23" s="9"/>
      <c r="G23" s="73" t="s">
        <v>69</v>
      </c>
      <c r="K23">
        <v>15</v>
      </c>
    </row>
    <row r="24" spans="1:14" x14ac:dyDescent="0.25">
      <c r="A24" s="1"/>
      <c r="B24" t="s">
        <v>75</v>
      </c>
      <c r="C24" s="81" t="s">
        <v>49</v>
      </c>
      <c r="D24" s="81" t="s">
        <v>205</v>
      </c>
      <c r="E24" s="81" t="s">
        <v>49</v>
      </c>
      <c r="F24" s="81"/>
      <c r="G24" s="122" t="s">
        <v>59</v>
      </c>
      <c r="K24">
        <v>16</v>
      </c>
    </row>
    <row r="25" spans="1:14" x14ac:dyDescent="0.25">
      <c r="A25" s="1"/>
      <c r="B25" t="s">
        <v>76</v>
      </c>
      <c r="C25" s="81" t="s">
        <v>49</v>
      </c>
      <c r="D25" s="81" t="s">
        <v>205</v>
      </c>
      <c r="E25" s="81" t="s">
        <v>49</v>
      </c>
      <c r="F25" s="81"/>
      <c r="G25" s="122" t="s">
        <v>57</v>
      </c>
      <c r="K25">
        <v>17</v>
      </c>
    </row>
    <row r="26" spans="1:14" ht="14.1" customHeight="1" x14ac:dyDescent="0.25">
      <c r="A26" s="1"/>
    </row>
    <row r="27" spans="1:14" x14ac:dyDescent="0.25">
      <c r="A27" s="1" t="s">
        <v>77</v>
      </c>
      <c r="M27" s="4" t="s">
        <v>270</v>
      </c>
      <c r="N27" s="4"/>
    </row>
    <row r="28" spans="1:14" x14ac:dyDescent="0.25">
      <c r="B28" t="s">
        <v>46</v>
      </c>
      <c r="C28" s="20">
        <v>43186</v>
      </c>
      <c r="D28" s="19">
        <f>60.48/200</f>
        <v>0.3024</v>
      </c>
      <c r="E28" s="21">
        <v>28</v>
      </c>
      <c r="F28" s="21"/>
      <c r="G28" s="120" t="s">
        <v>47</v>
      </c>
      <c r="H28" s="22"/>
      <c r="K28">
        <v>1</v>
      </c>
    </row>
    <row r="29" spans="1:14" x14ac:dyDescent="0.25">
      <c r="B29" t="s">
        <v>81</v>
      </c>
      <c r="C29" s="20">
        <v>43186</v>
      </c>
      <c r="D29" s="80">
        <f>49.6/200</f>
        <v>0.248</v>
      </c>
      <c r="E29" s="9">
        <v>27</v>
      </c>
      <c r="F29" s="9"/>
      <c r="G29" s="120" t="s">
        <v>47</v>
      </c>
      <c r="H29" s="22"/>
      <c r="K29">
        <v>2</v>
      </c>
    </row>
    <row r="30" spans="1:14" x14ac:dyDescent="0.25">
      <c r="A30" s="1" t="s">
        <v>201</v>
      </c>
      <c r="D30" s="22"/>
      <c r="G30" s="73"/>
      <c r="M30" t="s">
        <v>267</v>
      </c>
      <c r="N30">
        <v>2</v>
      </c>
    </row>
    <row r="31" spans="1:14" x14ac:dyDescent="0.25">
      <c r="B31" t="s">
        <v>32</v>
      </c>
      <c r="C31" s="15">
        <v>42821</v>
      </c>
      <c r="D31" s="80">
        <f>26.5/200</f>
        <v>0.13250000000000001</v>
      </c>
      <c r="E31" s="9">
        <v>24</v>
      </c>
      <c r="F31" s="9"/>
      <c r="G31" s="122" t="s">
        <v>59</v>
      </c>
      <c r="K31">
        <v>3</v>
      </c>
      <c r="M31" t="s">
        <v>47</v>
      </c>
      <c r="N31">
        <v>10</v>
      </c>
    </row>
    <row r="32" spans="1:14" x14ac:dyDescent="0.25">
      <c r="B32" t="s">
        <v>55</v>
      </c>
      <c r="C32" s="81">
        <v>42821</v>
      </c>
      <c r="D32" s="80">
        <f>20/200</f>
        <v>0.1</v>
      </c>
      <c r="E32" s="9">
        <v>30</v>
      </c>
      <c r="F32" s="9"/>
      <c r="G32" s="120" t="s">
        <v>47</v>
      </c>
      <c r="K32">
        <v>4</v>
      </c>
      <c r="M32" t="s">
        <v>72</v>
      </c>
      <c r="N32">
        <v>4</v>
      </c>
    </row>
    <row r="33" spans="1:14" x14ac:dyDescent="0.25">
      <c r="B33" t="s">
        <v>71</v>
      </c>
      <c r="C33" s="78" t="s">
        <v>207</v>
      </c>
      <c r="D33" s="80">
        <v>7.0000000000000007E-2</v>
      </c>
      <c r="E33" s="9"/>
      <c r="F33" s="9"/>
      <c r="G33" s="121" t="s">
        <v>49</v>
      </c>
      <c r="K33">
        <v>5</v>
      </c>
      <c r="M33" t="s">
        <v>69</v>
      </c>
      <c r="N33" s="3">
        <v>0</v>
      </c>
    </row>
    <row r="34" spans="1:14" x14ac:dyDescent="0.25">
      <c r="B34" t="s">
        <v>63</v>
      </c>
      <c r="C34" s="86" t="s">
        <v>208</v>
      </c>
      <c r="D34" s="80">
        <v>0.06</v>
      </c>
      <c r="E34" s="9"/>
      <c r="F34" s="9"/>
      <c r="G34" s="121" t="s">
        <v>49</v>
      </c>
      <c r="K34">
        <v>6</v>
      </c>
      <c r="M34" s="7" t="s">
        <v>74</v>
      </c>
      <c r="N34" s="1">
        <f>SUM(N30:N33)</f>
        <v>16</v>
      </c>
    </row>
    <row r="35" spans="1:14" x14ac:dyDescent="0.25">
      <c r="B35" t="s">
        <v>54</v>
      </c>
      <c r="C35" s="15">
        <v>42821</v>
      </c>
      <c r="D35" s="80">
        <f>6.15/200</f>
        <v>3.0750000000000003E-2</v>
      </c>
      <c r="E35" s="9">
        <v>30</v>
      </c>
      <c r="F35" s="9"/>
      <c r="G35" s="120" t="s">
        <v>53</v>
      </c>
      <c r="K35">
        <v>7</v>
      </c>
    </row>
    <row r="36" spans="1:14" x14ac:dyDescent="0.25">
      <c r="A36" s="1" t="s">
        <v>78</v>
      </c>
      <c r="D36" s="22"/>
      <c r="G36" s="120"/>
    </row>
    <row r="37" spans="1:14" x14ac:dyDescent="0.25">
      <c r="B37" t="s">
        <v>73</v>
      </c>
      <c r="C37" s="15">
        <v>42821</v>
      </c>
      <c r="D37" s="80">
        <f>1.23/200</f>
        <v>6.1500000000000001E-3</v>
      </c>
      <c r="E37" s="9">
        <v>27</v>
      </c>
      <c r="F37" s="9"/>
      <c r="G37" s="120" t="s">
        <v>47</v>
      </c>
      <c r="K37">
        <v>8</v>
      </c>
    </row>
    <row r="38" spans="1:14" x14ac:dyDescent="0.25">
      <c r="B38" t="s">
        <v>52</v>
      </c>
      <c r="C38" s="15">
        <v>42821</v>
      </c>
      <c r="D38" s="80">
        <f>0.92/200</f>
        <v>4.5999999999999999E-3</v>
      </c>
      <c r="E38" s="9">
        <v>26</v>
      </c>
      <c r="F38" s="9"/>
      <c r="G38" s="120" t="s">
        <v>53</v>
      </c>
      <c r="K38">
        <v>9</v>
      </c>
    </row>
    <row r="39" spans="1:14" x14ac:dyDescent="0.25">
      <c r="B39" t="s">
        <v>58</v>
      </c>
      <c r="C39" s="15">
        <v>42821</v>
      </c>
      <c r="D39" s="80">
        <f>0.61/200</f>
        <v>3.0499999999999998E-3</v>
      </c>
      <c r="E39" s="9">
        <v>30</v>
      </c>
      <c r="F39" s="9"/>
      <c r="G39" s="120" t="s">
        <v>47</v>
      </c>
      <c r="K39">
        <v>10</v>
      </c>
    </row>
    <row r="40" spans="1:14" x14ac:dyDescent="0.25">
      <c r="B40" t="s">
        <v>64</v>
      </c>
      <c r="C40" s="15">
        <v>42821</v>
      </c>
      <c r="D40" s="80">
        <f>0.31/200</f>
        <v>1.5499999999999999E-3</v>
      </c>
      <c r="E40" s="28">
        <v>28</v>
      </c>
      <c r="F40" s="28"/>
      <c r="G40" s="120" t="s">
        <v>53</v>
      </c>
      <c r="K40">
        <v>11</v>
      </c>
    </row>
    <row r="41" spans="1:14" x14ac:dyDescent="0.25">
      <c r="B41" t="s">
        <v>65</v>
      </c>
      <c r="C41" s="15">
        <v>42821</v>
      </c>
      <c r="D41" s="80">
        <f>0.62/200</f>
        <v>3.0999999999999999E-3</v>
      </c>
      <c r="E41" s="27" t="s">
        <v>66</v>
      </c>
      <c r="F41" s="27"/>
      <c r="G41" s="122" t="s">
        <v>57</v>
      </c>
      <c r="K41">
        <v>12</v>
      </c>
    </row>
    <row r="42" spans="1:14" x14ac:dyDescent="0.25">
      <c r="B42" t="s">
        <v>60</v>
      </c>
      <c r="C42" s="15">
        <v>42821</v>
      </c>
      <c r="D42" s="80">
        <f>1.23/200</f>
        <v>6.1500000000000001E-3</v>
      </c>
      <c r="E42" s="9">
        <v>31</v>
      </c>
      <c r="F42" s="9"/>
      <c r="G42" s="120" t="s">
        <v>53</v>
      </c>
      <c r="K42">
        <v>13</v>
      </c>
    </row>
    <row r="43" spans="1:14" x14ac:dyDescent="0.25">
      <c r="B43" t="s">
        <v>79</v>
      </c>
      <c r="C43" s="15">
        <v>42821</v>
      </c>
      <c r="D43" s="80">
        <f>0.92/200</f>
        <v>4.5999999999999999E-3</v>
      </c>
      <c r="E43" s="9">
        <v>24</v>
      </c>
      <c r="F43" s="9"/>
      <c r="G43" s="122" t="s">
        <v>72</v>
      </c>
      <c r="K43">
        <v>14</v>
      </c>
    </row>
    <row r="44" spans="1:14" x14ac:dyDescent="0.25">
      <c r="B44" t="s">
        <v>33</v>
      </c>
      <c r="C44" s="15">
        <v>42821</v>
      </c>
      <c r="D44" s="80">
        <f>1.23/200</f>
        <v>6.1500000000000001E-3</v>
      </c>
      <c r="E44" s="9">
        <v>24</v>
      </c>
      <c r="F44" s="9"/>
      <c r="G44" s="122" t="s">
        <v>59</v>
      </c>
      <c r="K44">
        <v>15</v>
      </c>
    </row>
    <row r="45" spans="1:14" x14ac:dyDescent="0.25">
      <c r="B45" t="s">
        <v>61</v>
      </c>
      <c r="C45" s="15">
        <v>42821</v>
      </c>
      <c r="D45" s="80">
        <f>0.31/200</f>
        <v>1.5499999999999999E-3</v>
      </c>
      <c r="E45" s="27" t="s">
        <v>62</v>
      </c>
      <c r="F45" s="27"/>
      <c r="G45" s="120" t="s">
        <v>53</v>
      </c>
      <c r="K45">
        <v>16</v>
      </c>
    </row>
    <row r="46" spans="1:14" ht="8.1" customHeight="1" thickBot="1" x14ac:dyDescent="0.3">
      <c r="A46" s="14"/>
      <c r="B46" s="14"/>
      <c r="C46" s="14"/>
      <c r="D46" s="14"/>
      <c r="E46" s="14"/>
      <c r="F46" s="14"/>
      <c r="G46" s="14"/>
      <c r="H46" s="14"/>
    </row>
    <row r="48" spans="1:14" ht="67.349999999999994" customHeight="1" x14ac:dyDescent="0.25">
      <c r="A48" s="128" t="s">
        <v>246</v>
      </c>
      <c r="B48" s="128"/>
      <c r="C48" s="128"/>
      <c r="D48" s="128"/>
      <c r="E48" s="128"/>
      <c r="F48" s="128"/>
      <c r="G48" s="128"/>
      <c r="H48" s="128"/>
    </row>
  </sheetData>
  <mergeCells count="1">
    <mergeCell ref="A48:H48"/>
  </mergeCells>
  <pageMargins left="0.7" right="0.7" top="0.75" bottom="0.75" header="0.3" footer="0.3"/>
  <pageSetup scale="80" orientation="portrait" r:id="rId1"/>
  <ignoredErrors>
    <ignoredError sqref="D4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40"/>
  <sheetViews>
    <sheetView topLeftCell="A4" workbookViewId="0">
      <selection activeCell="F31" sqref="F31"/>
    </sheetView>
  </sheetViews>
  <sheetFormatPr defaultRowHeight="15" x14ac:dyDescent="0.25"/>
  <cols>
    <col min="1" max="1" width="3.5703125" customWidth="1"/>
    <col min="2" max="2" width="14.7109375" customWidth="1"/>
    <col min="3" max="3" width="11.140625" customWidth="1"/>
    <col min="4" max="6" width="8.85546875" customWidth="1"/>
    <col min="7" max="10" width="9.85546875" customWidth="1"/>
    <col min="11" max="11" width="3.85546875" customWidth="1"/>
    <col min="17" max="17" width="15.5703125" customWidth="1"/>
    <col min="19" max="19" width="10.28515625" customWidth="1"/>
    <col min="22" max="22" width="11.42578125" customWidth="1"/>
    <col min="23" max="25" width="10.140625" customWidth="1"/>
  </cols>
  <sheetData>
    <row r="1" spans="1:11" ht="18.75" x14ac:dyDescent="0.3">
      <c r="A1" s="115" t="s">
        <v>247</v>
      </c>
      <c r="B1" s="2"/>
    </row>
    <row r="3" spans="1:11" ht="15.75" thickBot="1" x14ac:dyDescent="0.3">
      <c r="A3" s="14"/>
      <c r="B3" s="14"/>
      <c r="C3" s="14"/>
      <c r="D3" s="14"/>
      <c r="E3" s="14"/>
      <c r="F3" s="14"/>
      <c r="G3" s="14"/>
      <c r="H3" s="14"/>
      <c r="I3" s="14"/>
      <c r="J3" s="14"/>
      <c r="K3" s="14"/>
    </row>
    <row r="4" spans="1:11" x14ac:dyDescent="0.25">
      <c r="B4" s="17"/>
      <c r="C4" s="17"/>
      <c r="D4" s="17"/>
      <c r="E4" s="38" t="s">
        <v>211</v>
      </c>
      <c r="F4" s="38" t="s">
        <v>212</v>
      </c>
      <c r="G4" s="129" t="s">
        <v>199</v>
      </c>
      <c r="H4" s="129"/>
      <c r="I4" s="129"/>
      <c r="J4" s="129"/>
    </row>
    <row r="5" spans="1:11" x14ac:dyDescent="0.25">
      <c r="B5" s="1" t="s">
        <v>37</v>
      </c>
      <c r="C5" s="7"/>
      <c r="D5" s="7" t="s">
        <v>39</v>
      </c>
      <c r="E5" s="7" t="s">
        <v>44</v>
      </c>
      <c r="F5" s="7" t="s">
        <v>24</v>
      </c>
      <c r="G5" s="22"/>
      <c r="J5" s="7" t="s">
        <v>197</v>
      </c>
    </row>
    <row r="6" spans="1:11" x14ac:dyDescent="0.25">
      <c r="A6" s="3"/>
      <c r="B6" s="4" t="s">
        <v>36</v>
      </c>
      <c r="C6" s="8" t="s">
        <v>192</v>
      </c>
      <c r="D6" s="8" t="s">
        <v>42</v>
      </c>
      <c r="E6" s="8" t="s">
        <v>45</v>
      </c>
      <c r="F6" s="8" t="s">
        <v>44</v>
      </c>
      <c r="G6" s="11" t="s">
        <v>0</v>
      </c>
      <c r="H6" s="11" t="s">
        <v>193</v>
      </c>
      <c r="I6" s="11" t="s">
        <v>196</v>
      </c>
      <c r="J6" s="11" t="s">
        <v>198</v>
      </c>
      <c r="K6" s="11"/>
    </row>
    <row r="7" spans="1:11" x14ac:dyDescent="0.25">
      <c r="G7" s="22"/>
      <c r="H7" s="22"/>
    </row>
    <row r="8" spans="1:11" x14ac:dyDescent="0.25">
      <c r="A8" s="1" t="s">
        <v>203</v>
      </c>
      <c r="C8" s="15"/>
      <c r="D8" s="15"/>
      <c r="E8" s="23"/>
      <c r="F8" s="23"/>
      <c r="G8" s="72"/>
      <c r="H8" s="83"/>
      <c r="I8" s="21"/>
      <c r="J8" s="72"/>
    </row>
    <row r="9" spans="1:11" x14ac:dyDescent="0.25">
      <c r="B9" s="22" t="s">
        <v>34</v>
      </c>
      <c r="C9" s="15">
        <v>42796</v>
      </c>
      <c r="D9" s="69">
        <v>10</v>
      </c>
      <c r="E9" s="23">
        <v>0.12</v>
      </c>
      <c r="F9" s="93">
        <v>0.06</v>
      </c>
      <c r="G9" s="72">
        <v>3862.7</v>
      </c>
      <c r="H9" s="74" t="s">
        <v>49</v>
      </c>
      <c r="I9" s="74" t="s">
        <v>49</v>
      </c>
      <c r="J9" s="72">
        <v>-177.9</v>
      </c>
    </row>
    <row r="10" spans="1:11" x14ac:dyDescent="0.25">
      <c r="B10" s="22" t="s">
        <v>48</v>
      </c>
      <c r="C10" s="15">
        <v>42796</v>
      </c>
      <c r="D10" s="69">
        <v>22</v>
      </c>
      <c r="E10" s="23">
        <v>0.13400000000000001</v>
      </c>
      <c r="F10" s="93">
        <v>0.03</v>
      </c>
      <c r="G10" s="72">
        <v>4500.277</v>
      </c>
      <c r="H10" s="84">
        <v>250</v>
      </c>
      <c r="I10" s="74" t="s">
        <v>49</v>
      </c>
      <c r="J10" s="72">
        <v>605</v>
      </c>
    </row>
    <row r="11" spans="1:11" x14ac:dyDescent="0.25">
      <c r="B11" t="s">
        <v>70</v>
      </c>
      <c r="C11" s="15">
        <v>42797</v>
      </c>
      <c r="D11" s="69">
        <v>22</v>
      </c>
      <c r="E11" s="79" t="s">
        <v>49</v>
      </c>
      <c r="F11" s="74" t="s">
        <v>49</v>
      </c>
      <c r="G11" s="79" t="s">
        <v>49</v>
      </c>
      <c r="H11" s="84">
        <v>280</v>
      </c>
      <c r="I11" s="21">
        <v>21.24</v>
      </c>
      <c r="J11" s="74">
        <v>357</v>
      </c>
    </row>
    <row r="12" spans="1:11" x14ac:dyDescent="0.25">
      <c r="B12" s="22" t="s">
        <v>191</v>
      </c>
      <c r="C12" s="15">
        <v>42803</v>
      </c>
      <c r="D12" s="69">
        <v>23</v>
      </c>
      <c r="E12" s="23">
        <v>0.10299999999999999</v>
      </c>
      <c r="F12" s="93">
        <v>4.4999999999999998E-2</v>
      </c>
      <c r="G12" s="74">
        <v>4816</v>
      </c>
      <c r="H12" s="84">
        <v>369</v>
      </c>
      <c r="I12" s="21">
        <v>14.09</v>
      </c>
      <c r="J12" s="72">
        <v>-592</v>
      </c>
    </row>
    <row r="13" spans="1:11" x14ac:dyDescent="0.25">
      <c r="B13" s="22" t="s">
        <v>31</v>
      </c>
      <c r="C13" s="15">
        <v>42808</v>
      </c>
      <c r="D13" s="69">
        <v>18</v>
      </c>
      <c r="E13" s="23">
        <v>0.12</v>
      </c>
      <c r="F13" s="93">
        <v>0.04</v>
      </c>
      <c r="G13" s="72">
        <v>6247.9</v>
      </c>
      <c r="H13" s="83">
        <v>346</v>
      </c>
      <c r="I13" s="21">
        <v>18.919</v>
      </c>
      <c r="J13" s="72">
        <v>397.9</v>
      </c>
    </row>
    <row r="14" spans="1:11" x14ac:dyDescent="0.25">
      <c r="B14" s="22" t="s">
        <v>67</v>
      </c>
      <c r="C14" s="15">
        <v>42816</v>
      </c>
      <c r="D14" s="69">
        <v>23</v>
      </c>
      <c r="E14" s="23">
        <v>0.107</v>
      </c>
      <c r="F14" s="93">
        <v>-0.02</v>
      </c>
      <c r="G14" s="72">
        <v>6396</v>
      </c>
      <c r="H14" s="83">
        <v>289</v>
      </c>
      <c r="I14" s="21">
        <v>22.41</v>
      </c>
      <c r="J14" s="72">
        <v>253</v>
      </c>
    </row>
    <row r="15" spans="1:11" x14ac:dyDescent="0.25">
      <c r="F15" s="93"/>
      <c r="G15" s="22"/>
      <c r="H15" s="22"/>
    </row>
    <row r="16" spans="1:11" x14ac:dyDescent="0.25">
      <c r="A16" s="1" t="s">
        <v>204</v>
      </c>
      <c r="F16" s="93"/>
      <c r="G16" s="22"/>
      <c r="H16" s="22"/>
    </row>
    <row r="17" spans="1:11" x14ac:dyDescent="0.25">
      <c r="B17" s="87" t="s">
        <v>46</v>
      </c>
      <c r="C17" s="88">
        <v>42821</v>
      </c>
      <c r="D17" s="98">
        <v>28</v>
      </c>
      <c r="E17" s="89">
        <v>9.7000000000000003E-2</v>
      </c>
      <c r="F17" s="94">
        <v>3.5000000000000003E-2</v>
      </c>
      <c r="G17" s="90">
        <v>4901.7</v>
      </c>
      <c r="H17" s="91">
        <v>236</v>
      </c>
      <c r="I17" s="92">
        <v>20.72</v>
      </c>
      <c r="J17" s="90">
        <v>-243</v>
      </c>
    </row>
    <row r="18" spans="1:11" x14ac:dyDescent="0.25">
      <c r="A18" s="1" t="s">
        <v>200</v>
      </c>
      <c r="C18" s="15"/>
      <c r="D18" s="15"/>
      <c r="E18" s="23"/>
      <c r="F18" s="93"/>
      <c r="G18" s="72"/>
      <c r="H18" s="82"/>
      <c r="I18" s="21"/>
      <c r="J18" s="85"/>
    </row>
    <row r="19" spans="1:11" x14ac:dyDescent="0.25">
      <c r="B19" s="22" t="s">
        <v>32</v>
      </c>
      <c r="C19" s="15">
        <v>42821</v>
      </c>
      <c r="D19" s="69">
        <v>24</v>
      </c>
      <c r="E19" s="23">
        <v>0.13</v>
      </c>
      <c r="F19" s="93">
        <v>3.5000000000000003E-2</v>
      </c>
      <c r="G19" s="72">
        <v>6808</v>
      </c>
      <c r="H19" s="83">
        <v>299</v>
      </c>
      <c r="I19" s="21">
        <v>21.3</v>
      </c>
      <c r="J19" s="72">
        <v>1026.0999999999999</v>
      </c>
    </row>
    <row r="20" spans="1:11" x14ac:dyDescent="0.25">
      <c r="B20" s="22" t="s">
        <v>55</v>
      </c>
      <c r="C20" s="15">
        <v>42821</v>
      </c>
      <c r="D20" s="69">
        <v>30</v>
      </c>
      <c r="E20" s="23">
        <v>0.157</v>
      </c>
      <c r="F20" s="74" t="s">
        <v>49</v>
      </c>
      <c r="G20" s="72">
        <v>5126</v>
      </c>
      <c r="H20" s="22">
        <v>272</v>
      </c>
      <c r="I20" s="21">
        <v>18.059999999999999</v>
      </c>
      <c r="J20" s="72">
        <v>1275</v>
      </c>
    </row>
    <row r="21" spans="1:11" x14ac:dyDescent="0.25">
      <c r="B21" s="22" t="s">
        <v>54</v>
      </c>
      <c r="C21" s="15">
        <v>42821</v>
      </c>
      <c r="D21" s="69">
        <v>30</v>
      </c>
      <c r="E21" s="23">
        <v>0.11</v>
      </c>
      <c r="F21" s="93">
        <v>0.03</v>
      </c>
      <c r="G21" s="72">
        <v>4634.3</v>
      </c>
      <c r="H21" s="83">
        <v>281.2</v>
      </c>
      <c r="I21" s="21">
        <v>17.02</v>
      </c>
      <c r="J21" s="72">
        <v>351</v>
      </c>
    </row>
    <row r="22" spans="1:11" x14ac:dyDescent="0.25">
      <c r="A22" s="1" t="s">
        <v>202</v>
      </c>
      <c r="C22" s="15"/>
      <c r="D22" s="15"/>
      <c r="E22" s="23"/>
      <c r="F22" s="93"/>
      <c r="G22" s="72"/>
      <c r="H22" s="83"/>
      <c r="I22" s="21"/>
      <c r="J22" s="72"/>
    </row>
    <row r="23" spans="1:11" x14ac:dyDescent="0.25">
      <c r="B23" s="22" t="s">
        <v>189</v>
      </c>
      <c r="C23" s="15">
        <v>42821</v>
      </c>
      <c r="D23" s="69">
        <v>26</v>
      </c>
      <c r="E23" s="19">
        <v>0.1</v>
      </c>
      <c r="F23" s="74" t="s">
        <v>49</v>
      </c>
      <c r="G23" s="72">
        <v>5204.3</v>
      </c>
      <c r="H23" s="84">
        <v>289</v>
      </c>
      <c r="I23" s="21">
        <v>18.16</v>
      </c>
      <c r="J23" s="72">
        <v>351</v>
      </c>
    </row>
    <row r="24" spans="1:11" x14ac:dyDescent="0.25">
      <c r="B24" s="22" t="s">
        <v>64</v>
      </c>
      <c r="C24" s="15">
        <v>42821</v>
      </c>
      <c r="D24" s="69">
        <v>28</v>
      </c>
      <c r="E24" s="23">
        <v>0.15</v>
      </c>
      <c r="F24" s="74" t="s">
        <v>49</v>
      </c>
      <c r="G24" s="72">
        <v>4964.7</v>
      </c>
      <c r="H24" s="74" t="s">
        <v>49</v>
      </c>
      <c r="I24" s="74" t="s">
        <v>49</v>
      </c>
      <c r="J24" s="72">
        <v>634.1</v>
      </c>
    </row>
    <row r="25" spans="1:11" x14ac:dyDescent="0.25">
      <c r="B25" s="22" t="s">
        <v>190</v>
      </c>
      <c r="C25" s="15">
        <v>42821</v>
      </c>
      <c r="D25" s="74" t="s">
        <v>214</v>
      </c>
      <c r="E25" s="74" t="s">
        <v>49</v>
      </c>
      <c r="F25" s="74" t="s">
        <v>49</v>
      </c>
      <c r="G25" s="72">
        <v>5649</v>
      </c>
      <c r="H25" s="84">
        <v>281</v>
      </c>
      <c r="I25" s="21">
        <v>18.89</v>
      </c>
      <c r="J25" s="74">
        <v>953</v>
      </c>
    </row>
    <row r="26" spans="1:11" x14ac:dyDescent="0.25">
      <c r="B26" s="22" t="s">
        <v>60</v>
      </c>
      <c r="C26" s="15">
        <v>42821</v>
      </c>
      <c r="D26" s="69">
        <v>31</v>
      </c>
      <c r="E26" s="23">
        <v>0.11</v>
      </c>
      <c r="F26" s="93">
        <v>0.05</v>
      </c>
      <c r="G26" s="72">
        <v>4621</v>
      </c>
      <c r="H26" s="74" t="s">
        <v>49</v>
      </c>
      <c r="I26" s="74" t="s">
        <v>49</v>
      </c>
      <c r="J26" s="72">
        <v>390.76609000000002</v>
      </c>
    </row>
    <row r="27" spans="1:11" x14ac:dyDescent="0.25">
      <c r="B27" s="22" t="s">
        <v>33</v>
      </c>
      <c r="C27" s="15">
        <v>42821</v>
      </c>
      <c r="D27" s="69">
        <v>24</v>
      </c>
      <c r="E27" s="23">
        <v>0.18</v>
      </c>
      <c r="F27" s="74" t="s">
        <v>49</v>
      </c>
      <c r="G27" s="72">
        <v>5269</v>
      </c>
      <c r="H27" s="83">
        <v>332</v>
      </c>
      <c r="I27" s="21">
        <v>16.7</v>
      </c>
      <c r="J27" s="72">
        <v>442</v>
      </c>
    </row>
    <row r="28" spans="1:11" x14ac:dyDescent="0.25">
      <c r="A28" s="3"/>
      <c r="B28" s="104" t="s">
        <v>61</v>
      </c>
      <c r="C28" s="105">
        <v>42821</v>
      </c>
      <c r="D28" s="106" t="s">
        <v>214</v>
      </c>
      <c r="E28" s="107">
        <v>0.1</v>
      </c>
      <c r="F28" s="108" t="s">
        <v>49</v>
      </c>
      <c r="G28" s="109">
        <v>4654</v>
      </c>
      <c r="H28" s="108" t="s">
        <v>49</v>
      </c>
      <c r="I28" s="108" t="s">
        <v>49</v>
      </c>
      <c r="J28" s="108" t="s">
        <v>49</v>
      </c>
      <c r="K28" s="3"/>
    </row>
    <row r="29" spans="1:11" x14ac:dyDescent="0.25">
      <c r="B29" s="22"/>
    </row>
    <row r="30" spans="1:11" x14ac:dyDescent="0.25">
      <c r="B30" s="97" t="s">
        <v>93</v>
      </c>
      <c r="C30" s="15"/>
      <c r="D30" s="100">
        <f t="shared" ref="D30" si="0">AVERAGE(D9:D28)</f>
        <v>24.214285714285715</v>
      </c>
      <c r="E30" s="19">
        <f t="shared" ref="E30:J30" si="1">AVERAGE(E9:E28)</f>
        <v>0.12271428571428573</v>
      </c>
      <c r="F30" s="26">
        <f t="shared" si="1"/>
        <v>3.3888888888888885E-2</v>
      </c>
      <c r="G30" s="101">
        <f t="shared" si="1"/>
        <v>5176.9918000000007</v>
      </c>
      <c r="H30" s="102">
        <f t="shared" si="1"/>
        <v>293.68333333333334</v>
      </c>
      <c r="I30" s="21">
        <f t="shared" si="1"/>
        <v>18.864454545454542</v>
      </c>
      <c r="J30" s="72">
        <f t="shared" si="1"/>
        <v>401.53107266666666</v>
      </c>
    </row>
    <row r="31" spans="1:11" x14ac:dyDescent="0.25">
      <c r="B31" s="97" t="s">
        <v>111</v>
      </c>
      <c r="C31" s="15"/>
      <c r="D31" s="100">
        <f t="shared" ref="D31" si="2">MEDIAN(D9:D28)</f>
        <v>24</v>
      </c>
      <c r="E31" s="19">
        <f t="shared" ref="E31:J31" si="3">MEDIAN(E9:E28)</f>
        <v>0.11499999999999999</v>
      </c>
      <c r="F31" s="26">
        <f t="shared" si="3"/>
        <v>3.5000000000000003E-2</v>
      </c>
      <c r="G31" s="101">
        <f t="shared" si="3"/>
        <v>4964.7</v>
      </c>
      <c r="H31" s="102">
        <f t="shared" si="3"/>
        <v>285.10000000000002</v>
      </c>
      <c r="I31" s="21">
        <f t="shared" si="3"/>
        <v>18.89</v>
      </c>
      <c r="J31" s="72">
        <f t="shared" si="3"/>
        <v>390.76609000000002</v>
      </c>
    </row>
    <row r="32" spans="1:11" x14ac:dyDescent="0.25">
      <c r="B32" s="97" t="s">
        <v>194</v>
      </c>
      <c r="C32" s="15"/>
      <c r="D32" s="100">
        <f t="shared" ref="D32" si="4">MAX(D9:D28)</f>
        <v>31</v>
      </c>
      <c r="E32" s="19">
        <f t="shared" ref="E32:J32" si="5">MAX(E9:E28)</f>
        <v>0.18</v>
      </c>
      <c r="F32" s="26">
        <f t="shared" si="5"/>
        <v>0.06</v>
      </c>
      <c r="G32" s="101">
        <f t="shared" si="5"/>
        <v>6808</v>
      </c>
      <c r="H32" s="102">
        <f t="shared" si="5"/>
        <v>369</v>
      </c>
      <c r="I32" s="21">
        <f t="shared" si="5"/>
        <v>22.41</v>
      </c>
      <c r="J32" s="72">
        <f t="shared" si="5"/>
        <v>1275</v>
      </c>
    </row>
    <row r="33" spans="1:12" x14ac:dyDescent="0.25">
      <c r="B33" s="97" t="s">
        <v>195</v>
      </c>
      <c r="C33" s="15"/>
      <c r="D33" s="100">
        <f t="shared" ref="D33:J33" si="6">MIN(D9:D28)</f>
        <v>10</v>
      </c>
      <c r="E33" s="19">
        <f t="shared" si="6"/>
        <v>9.7000000000000003E-2</v>
      </c>
      <c r="F33" s="26">
        <f t="shared" si="6"/>
        <v>-0.02</v>
      </c>
      <c r="G33" s="101">
        <f t="shared" si="6"/>
        <v>3862.7</v>
      </c>
      <c r="H33" s="102">
        <f t="shared" si="6"/>
        <v>236</v>
      </c>
      <c r="I33" s="21">
        <f t="shared" si="6"/>
        <v>14.09</v>
      </c>
      <c r="J33" s="72">
        <f t="shared" si="6"/>
        <v>-592</v>
      </c>
    </row>
    <row r="34" spans="1:12" x14ac:dyDescent="0.25">
      <c r="B34" s="97" t="s">
        <v>213</v>
      </c>
      <c r="C34" s="15"/>
      <c r="D34" s="99">
        <f t="shared" ref="D34:J34" si="7">_xlfn.STDEV.S(D9:D28)</f>
        <v>5.5355990771421624</v>
      </c>
      <c r="E34" s="13">
        <f t="shared" si="7"/>
        <v>2.4882581400306008E-2</v>
      </c>
      <c r="F34" s="12">
        <f t="shared" si="7"/>
        <v>2.2469114604521275E-2</v>
      </c>
      <c r="G34" s="69">
        <f t="shared" si="7"/>
        <v>794.68108058337873</v>
      </c>
      <c r="H34" s="103">
        <f t="shared" si="7"/>
        <v>38.328290840942586</v>
      </c>
      <c r="I34" s="9">
        <f t="shared" si="7"/>
        <v>2.4416871774917022</v>
      </c>
      <c r="J34" s="69">
        <f t="shared" si="7"/>
        <v>487.10683356948272</v>
      </c>
    </row>
    <row r="35" spans="1:12" x14ac:dyDescent="0.25">
      <c r="B35" s="97" t="s">
        <v>248</v>
      </c>
      <c r="D35" s="40">
        <f>D34/D30</f>
        <v>0.22860881144539902</v>
      </c>
      <c r="E35" s="40">
        <f t="shared" ref="E35:J35" si="8">E34/E30</f>
        <v>0.20276841653334346</v>
      </c>
      <c r="F35" s="40">
        <f t="shared" si="8"/>
        <v>0.66302305390390659</v>
      </c>
      <c r="G35" s="40">
        <f t="shared" si="8"/>
        <v>0.15350248006639272</v>
      </c>
      <c r="H35" s="40">
        <f t="shared" si="8"/>
        <v>0.13050890701189236</v>
      </c>
      <c r="I35" s="40">
        <f t="shared" si="8"/>
        <v>0.12943322435368457</v>
      </c>
      <c r="J35" s="40">
        <f t="shared" si="8"/>
        <v>1.2131236328349047</v>
      </c>
    </row>
    <row r="36" spans="1:12" ht="8.1" customHeight="1" thickBot="1" x14ac:dyDescent="0.3">
      <c r="A36" s="14"/>
      <c r="B36" s="14"/>
      <c r="C36" s="14"/>
      <c r="D36" s="14"/>
      <c r="E36" s="14"/>
      <c r="F36" s="14"/>
      <c r="G36" s="14"/>
      <c r="H36" s="14"/>
      <c r="I36" s="14"/>
      <c r="J36" s="14"/>
      <c r="K36" s="14"/>
      <c r="L36" s="63"/>
    </row>
    <row r="38" spans="1:12" x14ac:dyDescent="0.25">
      <c r="A38" s="116" t="s">
        <v>249</v>
      </c>
    </row>
    <row r="39" spans="1:12" ht="26.45" customHeight="1" x14ac:dyDescent="0.25">
      <c r="A39" s="130" t="s">
        <v>250</v>
      </c>
      <c r="B39" s="130"/>
      <c r="C39" s="130"/>
      <c r="D39" s="130"/>
      <c r="E39" s="130"/>
      <c r="F39" s="130"/>
      <c r="G39" s="130"/>
      <c r="H39" s="130"/>
      <c r="I39" s="130"/>
      <c r="J39" s="130"/>
    </row>
    <row r="40" spans="1:12" ht="25.9" customHeight="1" x14ac:dyDescent="0.25">
      <c r="A40" s="130" t="s">
        <v>251</v>
      </c>
      <c r="B40" s="130"/>
      <c r="C40" s="130"/>
      <c r="D40" s="130"/>
      <c r="E40" s="130"/>
      <c r="F40" s="130"/>
      <c r="G40" s="130"/>
      <c r="H40" s="130"/>
      <c r="I40" s="130"/>
      <c r="J40" s="130"/>
    </row>
  </sheetData>
  <mergeCells count="3">
    <mergeCell ref="G4:J4"/>
    <mergeCell ref="A39:J39"/>
    <mergeCell ref="A40:J40"/>
  </mergeCells>
  <pageMargins left="0.7" right="0.7" top="0.75" bottom="0.75" header="0.3" footer="0.3"/>
  <pageSetup scale="91" orientation="portrait" r:id="rId1"/>
  <ignoredErrors>
    <ignoredError sqref="F30:F32"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workbookViewId="0">
      <selection activeCell="I18" sqref="I18"/>
    </sheetView>
  </sheetViews>
  <sheetFormatPr defaultRowHeight="15" x14ac:dyDescent="0.25"/>
  <cols>
    <col min="1" max="2" width="2.85546875" customWidth="1"/>
    <col min="4" max="4" width="7.85546875" customWidth="1"/>
    <col min="5" max="14" width="9.85546875" customWidth="1"/>
    <col min="15" max="15" width="14" customWidth="1"/>
    <col min="16" max="17" width="3.85546875" customWidth="1"/>
  </cols>
  <sheetData>
    <row r="1" spans="1:17" ht="18.75" x14ac:dyDescent="0.3">
      <c r="A1" s="115" t="s">
        <v>252</v>
      </c>
      <c r="B1" s="2"/>
      <c r="H1" s="57"/>
    </row>
    <row r="3" spans="1:17" ht="15.75" thickBot="1" x14ac:dyDescent="0.3">
      <c r="A3" s="14"/>
      <c r="B3" s="14"/>
      <c r="C3" s="14"/>
      <c r="D3" s="14"/>
      <c r="E3" s="14"/>
      <c r="F3" s="14"/>
      <c r="G3" s="14"/>
      <c r="H3" s="14"/>
      <c r="I3" s="14"/>
      <c r="J3" s="14"/>
      <c r="K3" s="14"/>
      <c r="L3" s="14"/>
      <c r="M3" s="14"/>
      <c r="N3" s="14"/>
      <c r="O3" s="14"/>
    </row>
    <row r="4" spans="1:17" x14ac:dyDescent="0.25">
      <c r="A4" s="17"/>
      <c r="B4" s="17"/>
      <c r="C4" s="17"/>
      <c r="D4" s="17"/>
      <c r="E4" s="38" t="s">
        <v>278</v>
      </c>
      <c r="F4" s="131" t="s">
        <v>184</v>
      </c>
      <c r="G4" s="131"/>
      <c r="H4" s="131"/>
      <c r="I4" s="131"/>
      <c r="J4" s="131"/>
      <c r="K4" s="131"/>
      <c r="L4" s="131"/>
      <c r="M4" s="131"/>
      <c r="N4" s="131"/>
      <c r="O4" s="131"/>
      <c r="P4" s="17"/>
      <c r="Q4" s="17"/>
    </row>
    <row r="5" spans="1:17" x14ac:dyDescent="0.25">
      <c r="A5" s="4" t="s">
        <v>26</v>
      </c>
      <c r="B5" s="4"/>
      <c r="C5" s="3"/>
      <c r="D5" s="3"/>
      <c r="E5" s="11">
        <v>2016</v>
      </c>
      <c r="F5" s="4">
        <v>2017</v>
      </c>
      <c r="G5" s="4">
        <v>2018</v>
      </c>
      <c r="H5" s="4">
        <v>2019</v>
      </c>
      <c r="I5" s="4">
        <v>2020</v>
      </c>
      <c r="J5" s="4">
        <v>2021</v>
      </c>
      <c r="K5" s="4">
        <v>2022</v>
      </c>
      <c r="L5" s="4">
        <v>2023</v>
      </c>
      <c r="M5" s="4">
        <v>2024</v>
      </c>
      <c r="N5" s="4">
        <v>2025</v>
      </c>
      <c r="O5" s="8" t="s">
        <v>226</v>
      </c>
    </row>
    <row r="6" spans="1:17" ht="6" customHeight="1" x14ac:dyDescent="0.25">
      <c r="A6" s="1"/>
    </row>
    <row r="7" spans="1:17" x14ac:dyDescent="0.25">
      <c r="A7" s="1" t="s">
        <v>29</v>
      </c>
      <c r="E7" s="57"/>
    </row>
    <row r="8" spans="1:17" x14ac:dyDescent="0.25">
      <c r="B8" t="s">
        <v>27</v>
      </c>
      <c r="E8" s="16">
        <v>404.5</v>
      </c>
      <c r="F8" s="16">
        <v>943.7</v>
      </c>
      <c r="G8" s="16">
        <v>1934.7</v>
      </c>
      <c r="H8" s="16">
        <v>3254</v>
      </c>
      <c r="I8" s="16">
        <v>4901.7</v>
      </c>
      <c r="J8" s="16">
        <v>6907.3</v>
      </c>
      <c r="K8" s="16">
        <v>9188.5</v>
      </c>
      <c r="L8" s="16">
        <v>11635.3</v>
      </c>
      <c r="M8" s="16">
        <v>14130.6</v>
      </c>
      <c r="N8" s="16">
        <v>16568.900000000001</v>
      </c>
      <c r="O8" s="16">
        <v>17148.8</v>
      </c>
    </row>
    <row r="9" spans="1:17" x14ac:dyDescent="0.25">
      <c r="C9" t="s">
        <v>24</v>
      </c>
      <c r="E9" s="12">
        <v>5.8949999999999996</v>
      </c>
      <c r="F9" s="12">
        <v>1.333</v>
      </c>
      <c r="G9" s="12">
        <v>1.05</v>
      </c>
      <c r="H9" s="12">
        <v>0.68200000000000005</v>
      </c>
      <c r="I9" s="12">
        <v>0.50600000000000001</v>
      </c>
      <c r="J9" s="12">
        <v>0.40899999999999997</v>
      </c>
      <c r="K9" s="12">
        <v>0.33</v>
      </c>
      <c r="L9" s="12">
        <v>0.26600000000000001</v>
      </c>
      <c r="M9" s="12">
        <v>0.214</v>
      </c>
      <c r="N9" s="12">
        <v>0.17299999999999999</v>
      </c>
      <c r="O9" s="114">
        <f>(O8-N8)/N8</f>
        <v>3.4999305928576897E-2</v>
      </c>
    </row>
    <row r="10" spans="1:17" x14ac:dyDescent="0.25">
      <c r="B10" t="s">
        <v>225</v>
      </c>
      <c r="E10" s="16">
        <v>-459.4</v>
      </c>
      <c r="F10" s="16">
        <v>-771.9</v>
      </c>
      <c r="G10" s="16">
        <v>-609.5</v>
      </c>
      <c r="H10" s="16">
        <v>-194.6</v>
      </c>
      <c r="I10" s="16">
        <v>362.6</v>
      </c>
      <c r="J10" s="16">
        <v>1474</v>
      </c>
      <c r="K10" s="16">
        <v>2616.1</v>
      </c>
      <c r="L10" s="16">
        <v>3887.8</v>
      </c>
      <c r="M10" s="16">
        <v>5222.5</v>
      </c>
      <c r="N10" s="16">
        <v>6573.6</v>
      </c>
      <c r="O10" s="16">
        <v>6803.7</v>
      </c>
    </row>
    <row r="11" spans="1:17" x14ac:dyDescent="0.25">
      <c r="C11" t="s">
        <v>224</v>
      </c>
      <c r="E11" s="12">
        <f t="shared" ref="E11:O11" si="0">E10/E8</f>
        <v>-1.1357231149567366</v>
      </c>
      <c r="F11" s="12">
        <f t="shared" si="0"/>
        <v>-0.81795061990039197</v>
      </c>
      <c r="G11" s="12">
        <f t="shared" si="0"/>
        <v>-0.31503592288210058</v>
      </c>
      <c r="H11" s="12">
        <f t="shared" si="0"/>
        <v>-5.980331899200983E-2</v>
      </c>
      <c r="I11" s="12">
        <f t="shared" si="0"/>
        <v>7.3974335434645128E-2</v>
      </c>
      <c r="J11" s="12">
        <f t="shared" si="0"/>
        <v>0.21339742012074181</v>
      </c>
      <c r="K11" s="12">
        <f t="shared" si="0"/>
        <v>0.28471458888828427</v>
      </c>
      <c r="L11" s="12">
        <f t="shared" si="0"/>
        <v>0.33413835483399656</v>
      </c>
      <c r="M11" s="12">
        <f t="shared" si="0"/>
        <v>0.36958798635585183</v>
      </c>
      <c r="N11" s="12">
        <f t="shared" si="0"/>
        <v>0.39674329617536469</v>
      </c>
      <c r="O11" s="12">
        <f t="shared" si="0"/>
        <v>0.39674496174659452</v>
      </c>
    </row>
    <row r="12" spans="1:17" ht="6" customHeight="1" x14ac:dyDescent="0.25">
      <c r="E12" s="12"/>
      <c r="F12" s="12"/>
      <c r="G12" s="12"/>
      <c r="H12" s="12"/>
      <c r="I12" s="12"/>
      <c r="J12" s="12"/>
      <c r="K12" s="12"/>
      <c r="L12" s="12"/>
      <c r="M12" s="12"/>
      <c r="N12" s="12"/>
      <c r="O12" s="12"/>
    </row>
    <row r="13" spans="1:17" x14ac:dyDescent="0.25">
      <c r="A13" s="1" t="s">
        <v>28</v>
      </c>
    </row>
    <row r="14" spans="1:17" x14ac:dyDescent="0.25">
      <c r="A14" s="1"/>
      <c r="B14" s="29" t="s">
        <v>274</v>
      </c>
      <c r="E14" s="16">
        <v>0</v>
      </c>
      <c r="F14" s="16">
        <v>0</v>
      </c>
      <c r="G14" s="16">
        <v>0</v>
      </c>
      <c r="H14" s="16">
        <v>0</v>
      </c>
      <c r="I14" s="16">
        <v>0</v>
      </c>
      <c r="J14" s="16">
        <v>0</v>
      </c>
      <c r="K14" s="16">
        <v>0</v>
      </c>
      <c r="L14" s="16">
        <v>0</v>
      </c>
      <c r="M14" s="16">
        <v>823.3</v>
      </c>
      <c r="N14" s="16">
        <v>1448.4</v>
      </c>
      <c r="O14" s="16"/>
    </row>
    <row r="15" spans="1:17" x14ac:dyDescent="0.25">
      <c r="B15" s="29" t="s">
        <v>275</v>
      </c>
      <c r="E15" s="16">
        <v>150.5</v>
      </c>
      <c r="F15" s="16">
        <v>256.60000000000002</v>
      </c>
      <c r="G15" s="16">
        <v>227.5</v>
      </c>
      <c r="H15" s="16">
        <v>230.5</v>
      </c>
      <c r="I15" s="16">
        <v>228.4</v>
      </c>
      <c r="J15" s="16">
        <v>208.9</v>
      </c>
      <c r="K15" s="16">
        <v>223.8</v>
      </c>
      <c r="L15" s="16">
        <v>248.1</v>
      </c>
      <c r="M15" s="16">
        <v>206.9</v>
      </c>
      <c r="N15" s="16">
        <v>150.6</v>
      </c>
      <c r="O15" s="16"/>
    </row>
    <row r="16" spans="1:17" x14ac:dyDescent="0.25">
      <c r="B16" s="29" t="s">
        <v>276</v>
      </c>
      <c r="E16" s="16">
        <v>67</v>
      </c>
      <c r="F16" s="16">
        <v>82.6</v>
      </c>
      <c r="G16" s="16">
        <v>96.6</v>
      </c>
      <c r="H16" s="16">
        <v>109.1</v>
      </c>
      <c r="I16" s="16">
        <v>120.1</v>
      </c>
      <c r="J16" s="16">
        <v>130.1</v>
      </c>
      <c r="K16" s="16">
        <v>140.1</v>
      </c>
      <c r="L16" s="16">
        <v>148.1</v>
      </c>
      <c r="M16" s="16">
        <v>155.1</v>
      </c>
      <c r="N16" s="16">
        <v>161.1</v>
      </c>
      <c r="O16" s="16"/>
    </row>
    <row r="17" spans="1:16" x14ac:dyDescent="0.25">
      <c r="B17" s="29" t="s">
        <v>277</v>
      </c>
      <c r="E17" s="111">
        <v>31.8</v>
      </c>
      <c r="F17" s="111">
        <v>75</v>
      </c>
      <c r="G17" s="111">
        <v>159.30000000000001</v>
      </c>
      <c r="H17" s="111">
        <v>202.8</v>
      </c>
      <c r="I17" s="111">
        <v>256.5</v>
      </c>
      <c r="J17" s="111">
        <v>316.60000000000002</v>
      </c>
      <c r="K17" s="111">
        <v>421.1</v>
      </c>
      <c r="L17" s="111">
        <v>533.29999999999995</v>
      </c>
      <c r="M17" s="111">
        <v>647.70000000000005</v>
      </c>
      <c r="N17" s="111">
        <v>759.4</v>
      </c>
      <c r="O17" s="16"/>
    </row>
    <row r="18" spans="1:16" x14ac:dyDescent="0.25">
      <c r="C18" s="1" t="s">
        <v>223</v>
      </c>
      <c r="E18" s="71">
        <v>-708.8</v>
      </c>
      <c r="F18" s="71">
        <v>-1186.2</v>
      </c>
      <c r="G18" s="71">
        <v>-1093</v>
      </c>
      <c r="H18" s="71">
        <v>-737.1</v>
      </c>
      <c r="I18" s="71">
        <v>-242.5</v>
      </c>
      <c r="J18" s="71">
        <f>J10-SUM(J14:J17)</f>
        <v>818.4</v>
      </c>
      <c r="K18" s="71">
        <f>K10-SUM(K14:K17)</f>
        <v>1831.1</v>
      </c>
      <c r="L18" s="71">
        <v>2958.2</v>
      </c>
      <c r="M18" s="71">
        <v>3389.6</v>
      </c>
      <c r="N18" s="71">
        <v>4054.2</v>
      </c>
      <c r="O18" s="71">
        <v>4196.1000000000004</v>
      </c>
    </row>
    <row r="19" spans="1:16" ht="6" customHeight="1" thickBot="1" x14ac:dyDescent="0.3">
      <c r="A19" s="14"/>
      <c r="B19" s="14"/>
      <c r="C19" s="14"/>
      <c r="D19" s="14"/>
      <c r="E19" s="14"/>
      <c r="F19" s="14"/>
      <c r="G19" s="14"/>
      <c r="H19" s="14"/>
      <c r="I19" s="14"/>
      <c r="J19" s="14"/>
      <c r="K19" s="14"/>
      <c r="L19" s="14"/>
      <c r="M19" s="14"/>
      <c r="N19" s="14"/>
      <c r="O19" s="14"/>
    </row>
    <row r="20" spans="1:16" ht="3.95" customHeight="1" x14ac:dyDescent="0.25"/>
    <row r="21" spans="1:16" ht="3.95" customHeight="1" thickBot="1" x14ac:dyDescent="0.3">
      <c r="A21" s="14"/>
      <c r="B21" s="14"/>
      <c r="C21" s="14"/>
      <c r="D21" s="14"/>
      <c r="E21" s="14"/>
      <c r="F21" s="14"/>
      <c r="G21" s="14"/>
      <c r="H21" s="14"/>
      <c r="I21" s="14"/>
      <c r="J21" s="14"/>
      <c r="K21" s="14"/>
      <c r="L21" s="14"/>
      <c r="M21" s="14"/>
      <c r="N21" s="14"/>
      <c r="O21" s="14"/>
      <c r="P21" s="14"/>
    </row>
    <row r="22" spans="1:16" x14ac:dyDescent="0.25">
      <c r="A22" s="48" t="s">
        <v>230</v>
      </c>
      <c r="B22" s="3"/>
      <c r="C22" s="3"/>
      <c r="D22" s="3"/>
      <c r="E22" s="3"/>
      <c r="F22" s="3"/>
      <c r="G22" s="3"/>
      <c r="H22" s="3"/>
      <c r="I22" s="3"/>
      <c r="J22" s="3"/>
      <c r="L22" s="48" t="s">
        <v>228</v>
      </c>
      <c r="M22" s="3"/>
      <c r="N22" s="3"/>
      <c r="O22" s="17"/>
    </row>
    <row r="23" spans="1:16" ht="8.1" customHeight="1" x14ac:dyDescent="0.25"/>
    <row r="24" spans="1:16" x14ac:dyDescent="0.25">
      <c r="B24" t="s">
        <v>114</v>
      </c>
      <c r="E24" s="46">
        <v>0.03</v>
      </c>
      <c r="G24" t="s">
        <v>273</v>
      </c>
      <c r="J24" s="47">
        <v>1404</v>
      </c>
      <c r="L24" s="4" t="s">
        <v>229</v>
      </c>
      <c r="M24" s="3"/>
      <c r="N24" s="49">
        <v>43186</v>
      </c>
    </row>
    <row r="25" spans="1:16" x14ac:dyDescent="0.25">
      <c r="B25" t="s">
        <v>209</v>
      </c>
      <c r="E25" s="56">
        <v>0.02</v>
      </c>
      <c r="G25" t="s">
        <v>227</v>
      </c>
      <c r="J25" s="16">
        <v>2081</v>
      </c>
      <c r="M25" t="s">
        <v>119</v>
      </c>
      <c r="N25" s="112">
        <v>3.0599999999999999E-2</v>
      </c>
    </row>
    <row r="26" spans="1:16" x14ac:dyDescent="0.25">
      <c r="B26" t="s">
        <v>116</v>
      </c>
      <c r="E26" s="45">
        <v>0.35</v>
      </c>
      <c r="M26" t="s">
        <v>118</v>
      </c>
      <c r="N26" s="112">
        <v>2.3800000000000002E-2</v>
      </c>
    </row>
    <row r="27" spans="1:16" x14ac:dyDescent="0.25">
      <c r="B27" t="s">
        <v>115</v>
      </c>
      <c r="E27" s="60">
        <v>9.9000000000000005E-2</v>
      </c>
      <c r="G27" t="s">
        <v>117</v>
      </c>
      <c r="J27" s="13">
        <v>3.5000000000000003E-2</v>
      </c>
    </row>
    <row r="28" spans="1:16" ht="15.75" thickBot="1" x14ac:dyDescent="0.3">
      <c r="B28" t="s">
        <v>159</v>
      </c>
      <c r="E28" s="60">
        <v>5.5899999999999998E-2</v>
      </c>
    </row>
    <row r="29" spans="1:16" ht="15.75" thickBot="1" x14ac:dyDescent="0.3">
      <c r="B29" t="s">
        <v>120</v>
      </c>
      <c r="E29" s="113">
        <v>9.7000000000000003E-2</v>
      </c>
    </row>
    <row r="30" spans="1:16" ht="8.1" customHeight="1" thickBot="1" x14ac:dyDescent="0.3">
      <c r="A30" s="14"/>
      <c r="B30" s="14"/>
      <c r="C30" s="14"/>
      <c r="D30" s="14"/>
      <c r="E30" s="58"/>
      <c r="F30" s="14"/>
      <c r="G30" s="14"/>
      <c r="H30" s="14"/>
      <c r="I30" s="14"/>
      <c r="J30" s="14"/>
      <c r="K30" s="14"/>
      <c r="L30" s="14"/>
      <c r="M30" s="14"/>
      <c r="N30" s="14"/>
      <c r="O30" s="14"/>
      <c r="P30" s="14"/>
    </row>
    <row r="31" spans="1:16" x14ac:dyDescent="0.25">
      <c r="E31" s="46"/>
    </row>
    <row r="32" spans="1:16" x14ac:dyDescent="0.25">
      <c r="A32" s="116" t="s">
        <v>253</v>
      </c>
    </row>
    <row r="33" spans="1:14" x14ac:dyDescent="0.25">
      <c r="A33" s="118" t="s">
        <v>254</v>
      </c>
    </row>
    <row r="34" spans="1:14" ht="10.15" customHeight="1" x14ac:dyDescent="0.25">
      <c r="A34" s="118"/>
    </row>
    <row r="35" spans="1:14" ht="28.9" customHeight="1" x14ac:dyDescent="0.25">
      <c r="A35" s="130" t="s">
        <v>255</v>
      </c>
      <c r="B35" s="130"/>
      <c r="C35" s="130"/>
      <c r="D35" s="130"/>
      <c r="E35" s="130"/>
      <c r="F35" s="130"/>
      <c r="G35" s="130"/>
      <c r="H35" s="130"/>
      <c r="I35" s="130"/>
      <c r="J35" s="130"/>
      <c r="K35" s="130"/>
      <c r="L35" s="130"/>
      <c r="M35" s="130"/>
      <c r="N35" s="130"/>
    </row>
    <row r="36" spans="1:14" ht="10.15" customHeight="1" x14ac:dyDescent="0.25">
      <c r="A36" s="119"/>
      <c r="B36" s="119"/>
      <c r="C36" s="119"/>
      <c r="D36" s="119"/>
      <c r="E36" s="119"/>
      <c r="F36" s="119"/>
      <c r="G36" s="119"/>
      <c r="H36" s="119"/>
      <c r="I36" s="119"/>
      <c r="J36" s="119"/>
      <c r="K36" s="119"/>
      <c r="L36" s="119"/>
      <c r="M36" s="119"/>
      <c r="N36" s="119"/>
    </row>
    <row r="37" spans="1:14" ht="57.6" customHeight="1" x14ac:dyDescent="0.25">
      <c r="A37" s="130" t="s">
        <v>256</v>
      </c>
      <c r="B37" s="130"/>
      <c r="C37" s="130"/>
      <c r="D37" s="130"/>
      <c r="E37" s="130"/>
      <c r="F37" s="130"/>
      <c r="G37" s="130"/>
      <c r="H37" s="130"/>
      <c r="I37" s="130"/>
      <c r="J37" s="130"/>
      <c r="K37" s="130"/>
      <c r="L37" s="130"/>
      <c r="M37" s="130"/>
      <c r="N37" s="130"/>
    </row>
  </sheetData>
  <mergeCells count="3">
    <mergeCell ref="F4:O4"/>
    <mergeCell ref="A35:N35"/>
    <mergeCell ref="A37:N37"/>
  </mergeCells>
  <pageMargins left="0.7" right="0.7" top="0.47" bottom="0.35" header="0.3" footer="0.3"/>
  <pageSetup scale="8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0"/>
  <sheetViews>
    <sheetView workbookViewId="0">
      <selection activeCell="A28" sqref="A28:J28"/>
    </sheetView>
  </sheetViews>
  <sheetFormatPr defaultRowHeight="15" x14ac:dyDescent="0.25"/>
  <cols>
    <col min="1" max="1" width="13.85546875" customWidth="1"/>
    <col min="2" max="2" width="11.85546875" customWidth="1"/>
    <col min="3" max="3" width="9.7109375" customWidth="1"/>
    <col min="4" max="4" width="2.85546875" customWidth="1"/>
    <col min="5" max="6" width="10.28515625" customWidth="1"/>
    <col min="7" max="7" width="2.85546875" customWidth="1"/>
    <col min="10" max="10" width="10.85546875" customWidth="1"/>
    <col min="11" max="11" width="3.85546875" customWidth="1"/>
    <col min="12" max="12" width="5.140625" customWidth="1"/>
  </cols>
  <sheetData>
    <row r="1" spans="1:11" ht="15.75" x14ac:dyDescent="0.25">
      <c r="A1" s="115" t="s">
        <v>257</v>
      </c>
    </row>
    <row r="3" spans="1:11" ht="15.75" thickBot="1" x14ac:dyDescent="0.3">
      <c r="A3" s="14"/>
      <c r="B3" s="14"/>
      <c r="C3" s="14"/>
      <c r="D3" s="14"/>
      <c r="E3" s="14"/>
      <c r="F3" s="14"/>
      <c r="G3" s="14"/>
      <c r="H3" s="14"/>
      <c r="I3" s="14"/>
      <c r="J3" s="14"/>
      <c r="K3" s="14"/>
    </row>
    <row r="4" spans="1:11" x14ac:dyDescent="0.25">
      <c r="A4" s="17"/>
      <c r="B4" s="17"/>
      <c r="C4" s="17"/>
      <c r="D4" s="17"/>
      <c r="E4" s="17"/>
      <c r="F4" s="17"/>
      <c r="G4" s="17"/>
      <c r="H4" s="129" t="s">
        <v>206</v>
      </c>
      <c r="I4" s="129"/>
      <c r="J4" s="129"/>
      <c r="K4" s="17"/>
    </row>
    <row r="5" spans="1:11" x14ac:dyDescent="0.25">
      <c r="A5" s="17"/>
      <c r="B5" s="126" t="s">
        <v>112</v>
      </c>
      <c r="C5" s="126"/>
      <c r="D5" s="17"/>
      <c r="E5" s="126" t="s">
        <v>153</v>
      </c>
      <c r="F5" s="126"/>
      <c r="G5" s="17"/>
      <c r="H5" s="38"/>
      <c r="I5" s="38" t="s">
        <v>161</v>
      </c>
      <c r="J5" s="38" t="s">
        <v>163</v>
      </c>
      <c r="K5" s="59"/>
    </row>
    <row r="6" spans="1:11" x14ac:dyDescent="0.25">
      <c r="B6" s="7" t="s">
        <v>35</v>
      </c>
      <c r="E6" s="7" t="s">
        <v>109</v>
      </c>
      <c r="F6" s="7" t="s">
        <v>110</v>
      </c>
      <c r="H6" s="7"/>
      <c r="I6" s="7" t="s">
        <v>165</v>
      </c>
      <c r="J6" s="7" t="s">
        <v>164</v>
      </c>
      <c r="K6" s="7"/>
    </row>
    <row r="7" spans="1:11" x14ac:dyDescent="0.25">
      <c r="A7" s="4" t="s">
        <v>107</v>
      </c>
      <c r="B7" s="8" t="s">
        <v>30</v>
      </c>
      <c r="C7" s="8" t="s">
        <v>45</v>
      </c>
      <c r="D7" s="3"/>
      <c r="E7" s="8" t="s">
        <v>10</v>
      </c>
      <c r="F7" s="8" t="s">
        <v>108</v>
      </c>
      <c r="G7" s="3"/>
      <c r="H7" s="8" t="s">
        <v>160</v>
      </c>
      <c r="I7" s="8" t="s">
        <v>162</v>
      </c>
      <c r="J7" s="8" t="s">
        <v>162</v>
      </c>
      <c r="K7" s="8"/>
    </row>
    <row r="8" spans="1:11" ht="8.1" customHeight="1" thickBot="1" x14ac:dyDescent="0.3">
      <c r="A8" s="1"/>
      <c r="B8" s="38"/>
      <c r="C8" s="38"/>
    </row>
    <row r="9" spans="1:11" ht="15.75" thickBot="1" x14ac:dyDescent="0.3">
      <c r="A9" t="s">
        <v>151</v>
      </c>
      <c r="B9" s="25">
        <v>43186</v>
      </c>
      <c r="C9" s="77">
        <v>9.7000000000000003E-2</v>
      </c>
    </row>
    <row r="10" spans="1:11" ht="8.1" customHeight="1" x14ac:dyDescent="0.25">
      <c r="C10" s="23"/>
    </row>
    <row r="11" spans="1:11" x14ac:dyDescent="0.25">
      <c r="A11" t="s">
        <v>106</v>
      </c>
      <c r="B11" s="25">
        <v>42817</v>
      </c>
      <c r="C11" s="23">
        <v>0.08</v>
      </c>
      <c r="E11" s="40">
        <v>0.99134</v>
      </c>
      <c r="F11" s="40">
        <v>1.33985</v>
      </c>
      <c r="H11" s="16">
        <v>12918</v>
      </c>
      <c r="I11" s="16">
        <v>3935</v>
      </c>
      <c r="J11" s="16">
        <v>539069.52974999999</v>
      </c>
    </row>
    <row r="12" spans="1:11" x14ac:dyDescent="0.25">
      <c r="A12" t="s">
        <v>104</v>
      </c>
      <c r="B12" s="25">
        <v>42753</v>
      </c>
      <c r="C12" s="19">
        <v>7.4999999999999997E-2</v>
      </c>
      <c r="E12" s="44">
        <v>0.97140000000000004</v>
      </c>
      <c r="F12" s="44">
        <v>1.3001</v>
      </c>
      <c r="H12" s="16">
        <v>19334</v>
      </c>
      <c r="I12" s="16">
        <v>20413</v>
      </c>
      <c r="J12" s="16">
        <v>356313.12359999999</v>
      </c>
    </row>
    <row r="13" spans="1:11" x14ac:dyDescent="0.25">
      <c r="A13" t="s">
        <v>166</v>
      </c>
      <c r="B13" s="25">
        <v>42754</v>
      </c>
      <c r="C13" s="19">
        <v>6.3E-2</v>
      </c>
      <c r="E13" s="44">
        <v>1.3120000000000001</v>
      </c>
      <c r="F13" s="44">
        <v>1.3819999999999999</v>
      </c>
      <c r="G13" s="22"/>
      <c r="H13" s="72">
        <v>1816</v>
      </c>
      <c r="I13" s="72">
        <v>8960</v>
      </c>
      <c r="J13" s="72">
        <v>33191</v>
      </c>
    </row>
    <row r="14" spans="1:11" x14ac:dyDescent="0.25">
      <c r="A14" t="s">
        <v>103</v>
      </c>
      <c r="B14" s="25">
        <v>42795</v>
      </c>
      <c r="C14" s="23">
        <v>8.1000000000000003E-2</v>
      </c>
      <c r="E14" s="44">
        <v>1.5708299999999999</v>
      </c>
      <c r="F14" s="44">
        <v>2.32002</v>
      </c>
      <c r="G14" s="22"/>
      <c r="H14" s="72">
        <v>181.59200000000001</v>
      </c>
      <c r="I14" s="72">
        <v>12.125</v>
      </c>
      <c r="J14" s="72">
        <v>1361.40049</v>
      </c>
    </row>
    <row r="15" spans="1:11" x14ac:dyDescent="0.25">
      <c r="A15" t="s">
        <v>98</v>
      </c>
      <c r="B15" s="25">
        <v>42768</v>
      </c>
      <c r="C15" s="23">
        <v>8.5999999999999993E-2</v>
      </c>
      <c r="E15" s="44">
        <v>0.85634999999999994</v>
      </c>
      <c r="F15" s="44">
        <v>1.1151199999999999</v>
      </c>
      <c r="G15" s="22"/>
      <c r="H15" s="72">
        <v>8903</v>
      </c>
      <c r="I15" s="72">
        <v>0</v>
      </c>
      <c r="J15" s="72">
        <v>331593.65850000002</v>
      </c>
    </row>
    <row r="16" spans="1:11" x14ac:dyDescent="0.25">
      <c r="A16" t="s">
        <v>100</v>
      </c>
      <c r="B16" s="25">
        <v>42782</v>
      </c>
      <c r="C16" s="23">
        <v>8.2000000000000003E-2</v>
      </c>
      <c r="E16" s="44">
        <v>1.9530700000000001</v>
      </c>
      <c r="F16" s="44">
        <v>2.08412</v>
      </c>
      <c r="G16" s="22"/>
      <c r="H16" s="72">
        <v>862.97699999999998</v>
      </c>
      <c r="I16" s="72">
        <v>227.60300000000001</v>
      </c>
      <c r="J16" s="72">
        <v>1896.2511999999999</v>
      </c>
    </row>
    <row r="17" spans="1:11" x14ac:dyDescent="0.25">
      <c r="A17" t="s">
        <v>105</v>
      </c>
      <c r="B17" s="25">
        <v>42774</v>
      </c>
      <c r="C17" s="23">
        <v>8.5000000000000006E-2</v>
      </c>
      <c r="E17" s="44">
        <v>1.48458</v>
      </c>
      <c r="F17" s="44">
        <v>1.12896</v>
      </c>
      <c r="G17" s="22"/>
      <c r="H17" s="72">
        <v>239.52799999999999</v>
      </c>
      <c r="I17" s="72">
        <v>0</v>
      </c>
      <c r="J17" s="72">
        <v>3220.0012499999998</v>
      </c>
    </row>
    <row r="18" spans="1:11" x14ac:dyDescent="0.25">
      <c r="A18" t="s">
        <v>113</v>
      </c>
      <c r="B18" s="25">
        <v>42489</v>
      </c>
      <c r="C18" s="19">
        <v>9.0999999999999998E-2</v>
      </c>
      <c r="E18" s="73" t="s">
        <v>49</v>
      </c>
      <c r="F18" s="73" t="s">
        <v>49</v>
      </c>
      <c r="G18" s="22"/>
      <c r="H18" s="73" t="s">
        <v>49</v>
      </c>
      <c r="I18" s="73" t="s">
        <v>49</v>
      </c>
      <c r="J18" s="73" t="s">
        <v>49</v>
      </c>
    </row>
    <row r="19" spans="1:11" x14ac:dyDescent="0.25">
      <c r="A19" t="s">
        <v>185</v>
      </c>
      <c r="B19" s="25">
        <v>42794</v>
      </c>
      <c r="C19" s="19">
        <v>0.08</v>
      </c>
      <c r="E19" s="75">
        <v>1.446</v>
      </c>
      <c r="F19" s="75">
        <v>1.331</v>
      </c>
      <c r="G19" s="22"/>
      <c r="H19" s="74">
        <v>2081</v>
      </c>
      <c r="I19" s="74">
        <v>7169</v>
      </c>
      <c r="J19" s="74">
        <v>72343</v>
      </c>
    </row>
    <row r="20" spans="1:11" x14ac:dyDescent="0.25">
      <c r="A20" t="s">
        <v>99</v>
      </c>
      <c r="B20" s="25">
        <v>42775</v>
      </c>
      <c r="C20" s="19">
        <v>6.3E-2</v>
      </c>
      <c r="E20" s="40">
        <v>0.91469999999999996</v>
      </c>
      <c r="F20" s="40">
        <v>1.7140599999999999</v>
      </c>
      <c r="H20" s="16">
        <v>988.59799999999996</v>
      </c>
      <c r="I20" s="16">
        <v>1686.652</v>
      </c>
      <c r="J20" s="16">
        <v>11563.1059</v>
      </c>
    </row>
    <row r="21" spans="1:11" x14ac:dyDescent="0.25">
      <c r="A21" t="s">
        <v>101</v>
      </c>
      <c r="B21" s="25">
        <v>42677</v>
      </c>
      <c r="C21" s="23">
        <v>8.3000000000000004E-2</v>
      </c>
      <c r="E21" s="40">
        <v>1.62635</v>
      </c>
      <c r="F21" s="40">
        <v>1.46468</v>
      </c>
      <c r="H21" s="16">
        <v>272.20100000000002</v>
      </c>
      <c r="I21" s="16">
        <v>0</v>
      </c>
      <c r="J21" s="16">
        <v>2991.6797999999999</v>
      </c>
    </row>
    <row r="22" spans="1:11" x14ac:dyDescent="0.25">
      <c r="A22" t="s">
        <v>102</v>
      </c>
      <c r="B22" s="25">
        <v>42754</v>
      </c>
      <c r="C22" s="23">
        <v>0.09</v>
      </c>
      <c r="E22" s="40">
        <v>1.17621</v>
      </c>
      <c r="F22" s="40">
        <v>1.2196400000000001</v>
      </c>
      <c r="H22" s="16">
        <v>852.46699999999998</v>
      </c>
      <c r="I22" s="16">
        <v>0</v>
      </c>
      <c r="J22" s="16">
        <v>2292.2838200000001</v>
      </c>
    </row>
    <row r="23" spans="1:11" ht="8.1" customHeight="1" x14ac:dyDescent="0.25">
      <c r="B23" s="25"/>
      <c r="C23" s="23"/>
      <c r="E23" s="6"/>
      <c r="F23" s="6"/>
    </row>
    <row r="24" spans="1:11" x14ac:dyDescent="0.25">
      <c r="A24" s="7" t="s">
        <v>93</v>
      </c>
      <c r="B24" s="25"/>
      <c r="C24" s="76">
        <f>AVERAGE(C11:C22)</f>
        <v>7.9916666666666664E-2</v>
      </c>
      <c r="E24" s="43">
        <f>AVERAGE(E11:E22)</f>
        <v>1.3002572727272728</v>
      </c>
      <c r="F24" s="43">
        <f>AVERAGE(F11:F22)</f>
        <v>1.4908681818181817</v>
      </c>
    </row>
    <row r="25" spans="1:11" x14ac:dyDescent="0.25">
      <c r="A25" s="41" t="s">
        <v>111</v>
      </c>
      <c r="B25" s="42"/>
      <c r="C25" s="76">
        <f>MEDIAN(C11:C22)</f>
        <v>8.1500000000000003E-2</v>
      </c>
      <c r="D25" s="1"/>
      <c r="E25" s="43">
        <f>MEDIAN(E11:E22)</f>
        <v>1.3120000000000001</v>
      </c>
      <c r="F25" s="43">
        <f>MEDIAN(F11:F22)</f>
        <v>1.33985</v>
      </c>
    </row>
    <row r="26" spans="1:11" ht="8.1" customHeight="1" thickBot="1" x14ac:dyDescent="0.3">
      <c r="A26" s="14"/>
      <c r="B26" s="39"/>
      <c r="C26" s="14"/>
      <c r="D26" s="14"/>
      <c r="E26" s="14"/>
      <c r="F26" s="14"/>
      <c r="G26" s="14"/>
      <c r="H26" s="14"/>
      <c r="I26" s="14"/>
      <c r="J26" s="14"/>
      <c r="K26" s="14"/>
    </row>
    <row r="28" spans="1:11" ht="28.9" customHeight="1" x14ac:dyDescent="0.25">
      <c r="A28" s="128" t="s">
        <v>258</v>
      </c>
      <c r="B28" s="128"/>
      <c r="C28" s="128"/>
      <c r="D28" s="128"/>
      <c r="E28" s="128"/>
      <c r="F28" s="128"/>
      <c r="G28" s="128"/>
      <c r="H28" s="128"/>
      <c r="I28" s="128"/>
      <c r="J28" s="128"/>
    </row>
    <row r="29" spans="1:11" ht="10.15" customHeight="1" x14ac:dyDescent="0.25"/>
    <row r="30" spans="1:11" x14ac:dyDescent="0.25">
      <c r="A30" s="118" t="s">
        <v>259</v>
      </c>
    </row>
  </sheetData>
  <mergeCells count="4">
    <mergeCell ref="E5:F5"/>
    <mergeCell ref="B5:C5"/>
    <mergeCell ref="H4:J4"/>
    <mergeCell ref="A28:J28"/>
  </mergeCells>
  <pageMargins left="0.7" right="0.7" top="0.75" bottom="0.75" header="0.3" footer="0.3"/>
  <pageSetup scale="9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5"/>
  <sheetViews>
    <sheetView workbookViewId="0">
      <selection activeCell="G24" sqref="G24"/>
    </sheetView>
  </sheetViews>
  <sheetFormatPr defaultRowHeight="15" x14ac:dyDescent="0.25"/>
  <cols>
    <col min="1" max="1" width="16.7109375" customWidth="1"/>
    <col min="2" max="3" width="9.85546875" customWidth="1"/>
    <col min="4" max="4" width="4.5703125" customWidth="1"/>
    <col min="5" max="7" width="11.85546875" customWidth="1"/>
    <col min="8" max="8" width="3.85546875" customWidth="1"/>
    <col min="11" max="11" width="14.28515625" customWidth="1"/>
    <col min="12" max="12" width="10.85546875" customWidth="1"/>
    <col min="13" max="13" width="3.85546875" customWidth="1"/>
    <col min="14" max="14" width="10.85546875" customWidth="1"/>
    <col min="15" max="15" width="3.85546875" customWidth="1"/>
    <col min="16" max="16" width="10.85546875" customWidth="1"/>
  </cols>
  <sheetData>
    <row r="1" spans="1:10" ht="15.75" x14ac:dyDescent="0.25">
      <c r="A1" s="115" t="s">
        <v>260</v>
      </c>
    </row>
    <row r="3" spans="1:10" ht="15.75" thickBot="1" x14ac:dyDescent="0.3">
      <c r="A3" s="14"/>
      <c r="B3" s="14"/>
      <c r="C3" s="14"/>
      <c r="D3" s="14"/>
      <c r="E3" s="14"/>
      <c r="F3" s="14"/>
      <c r="G3" s="14"/>
      <c r="H3" s="14"/>
    </row>
    <row r="4" spans="1:10" x14ac:dyDescent="0.25">
      <c r="A4" s="17"/>
      <c r="B4" s="17"/>
      <c r="C4" s="17"/>
      <c r="D4" s="17"/>
      <c r="E4" s="132" t="s">
        <v>222</v>
      </c>
      <c r="F4" s="132"/>
      <c r="G4" s="17"/>
      <c r="H4" s="17"/>
    </row>
    <row r="5" spans="1:10" x14ac:dyDescent="0.25">
      <c r="B5" s="133" t="s">
        <v>91</v>
      </c>
      <c r="C5" s="133"/>
      <c r="E5" s="133" t="s">
        <v>157</v>
      </c>
      <c r="F5" s="133"/>
      <c r="G5" s="7" t="s">
        <v>156</v>
      </c>
    </row>
    <row r="6" spans="1:10" x14ac:dyDescent="0.25">
      <c r="B6" s="126" t="s">
        <v>90</v>
      </c>
      <c r="C6" s="126"/>
      <c r="E6" s="126" t="s">
        <v>158</v>
      </c>
      <c r="F6" s="126"/>
      <c r="G6" s="7" t="s">
        <v>154</v>
      </c>
    </row>
    <row r="7" spans="1:10" x14ac:dyDescent="0.25">
      <c r="A7" s="4" t="s">
        <v>87</v>
      </c>
      <c r="B7" s="8" t="s">
        <v>88</v>
      </c>
      <c r="C7" s="8" t="s">
        <v>89</v>
      </c>
      <c r="D7" s="4"/>
      <c r="E7" s="8" t="s">
        <v>88</v>
      </c>
      <c r="F7" s="8" t="s">
        <v>89</v>
      </c>
      <c r="G7" s="8" t="s">
        <v>155</v>
      </c>
      <c r="H7" s="59"/>
    </row>
    <row r="8" spans="1:10" ht="8.1" customHeight="1" x14ac:dyDescent="0.25"/>
    <row r="9" spans="1:10" x14ac:dyDescent="0.25">
      <c r="A9" s="30" t="s">
        <v>84</v>
      </c>
      <c r="B9" s="32">
        <v>1148</v>
      </c>
      <c r="C9" s="31">
        <f>B9/B$13</f>
        <v>0.35160796324655436</v>
      </c>
      <c r="D9" s="31"/>
      <c r="E9" s="32">
        <v>286</v>
      </c>
      <c r="F9" s="31">
        <f>E9/E$13</f>
        <v>0.4287856071964018</v>
      </c>
      <c r="G9" s="31">
        <f>E9/B9</f>
        <v>0.24912891986062718</v>
      </c>
    </row>
    <row r="10" spans="1:10" x14ac:dyDescent="0.25">
      <c r="A10" s="30" t="s">
        <v>85</v>
      </c>
      <c r="B10" s="32">
        <v>1418</v>
      </c>
      <c r="C10" s="31">
        <f t="shared" ref="C10:C12" si="0">B10/B$13</f>
        <v>0.43430321592649312</v>
      </c>
      <c r="D10" s="31"/>
      <c r="E10" s="32">
        <v>297</v>
      </c>
      <c r="F10" s="31">
        <f t="shared" ref="F10:F12" si="1">E10/E$13</f>
        <v>0.44527736131934031</v>
      </c>
      <c r="G10" s="31">
        <f t="shared" ref="G10:G12" si="2">E10/B10</f>
        <v>0.20944992947813823</v>
      </c>
    </row>
    <row r="11" spans="1:10" x14ac:dyDescent="0.25">
      <c r="A11" s="30" t="s">
        <v>221</v>
      </c>
      <c r="B11" s="32">
        <v>61</v>
      </c>
      <c r="C11" s="31">
        <f t="shared" si="0"/>
        <v>1.8683001531393569E-2</v>
      </c>
      <c r="D11" s="31"/>
      <c r="E11" s="32">
        <v>8</v>
      </c>
      <c r="F11" s="31">
        <f t="shared" si="1"/>
        <v>1.1994002998500749E-2</v>
      </c>
      <c r="G11" s="31">
        <f t="shared" si="2"/>
        <v>0.13114754098360656</v>
      </c>
    </row>
    <row r="12" spans="1:10" x14ac:dyDescent="0.25">
      <c r="A12" s="30" t="s">
        <v>86</v>
      </c>
      <c r="B12" s="34">
        <v>638</v>
      </c>
      <c r="C12" s="33">
        <f t="shared" si="0"/>
        <v>0.19540581929555895</v>
      </c>
      <c r="D12" s="31"/>
      <c r="E12" s="34">
        <v>76</v>
      </c>
      <c r="F12" s="33">
        <f t="shared" si="1"/>
        <v>0.11394302848575712</v>
      </c>
      <c r="G12" s="31">
        <f t="shared" si="2"/>
        <v>0.11912225705329153</v>
      </c>
    </row>
    <row r="13" spans="1:10" x14ac:dyDescent="0.25">
      <c r="A13" s="7" t="s">
        <v>74</v>
      </c>
      <c r="B13" s="32">
        <f>SUM(B9:B12)</f>
        <v>3265</v>
      </c>
      <c r="C13" s="31">
        <f>SUM(C9:C12)</f>
        <v>1</v>
      </c>
      <c r="D13" s="30"/>
      <c r="E13" s="32">
        <f>SUM(E9:E12)</f>
        <v>667</v>
      </c>
      <c r="F13" s="31">
        <f>SUM(F9:F12)</f>
        <v>1</v>
      </c>
      <c r="G13" s="30"/>
    </row>
    <row r="14" spans="1:10" ht="8.1" customHeight="1" thickBot="1" x14ac:dyDescent="0.3">
      <c r="A14" s="35"/>
      <c r="B14" s="35"/>
      <c r="C14" s="35"/>
      <c r="D14" s="35"/>
      <c r="E14" s="35"/>
      <c r="F14" s="35"/>
      <c r="G14" s="35"/>
      <c r="H14" s="14"/>
    </row>
    <row r="16" spans="1:10" x14ac:dyDescent="0.25">
      <c r="A16" s="128" t="s">
        <v>261</v>
      </c>
      <c r="B16" s="128"/>
      <c r="C16" s="128"/>
      <c r="D16" s="128"/>
      <c r="E16" s="128"/>
      <c r="F16" s="128"/>
      <c r="G16" s="128"/>
      <c r="H16" s="128"/>
      <c r="I16" s="128"/>
      <c r="J16" s="128"/>
    </row>
    <row r="21" ht="8.1" customHeight="1" x14ac:dyDescent="0.25"/>
    <row r="25" ht="8.1" customHeight="1" x14ac:dyDescent="0.25"/>
  </sheetData>
  <mergeCells count="6">
    <mergeCell ref="E4:F4"/>
    <mergeCell ref="A16:J16"/>
    <mergeCell ref="B6:C6"/>
    <mergeCell ref="B5:C5"/>
    <mergeCell ref="E6:F6"/>
    <mergeCell ref="E5:F5"/>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properties xmlns:p="http://schemas.microsoft.com/office/2006/metadata/properties" xmlns:xsi="http://www.w3.org/2001/XMLSchema-instance" xmlns:pc="http://schemas.microsoft.com/office/infopath/2007/PartnerControls">
  <documentManagement>
    <ContentTypeId xmlns="http://schemas.microsoft.com/sharepoint/v3">0x00041BB9609029574BB48B0D67EE7C5EF0</ContentTypeId>
    <TemplateUrl xmlns="http://schemas.microsoft.com/sharepoint/v3" xsi:nil="true"/>
    <RISState xmlns="60B91B04-2990-4B57-B48B-0D67EE7C5EF0" xsi:nil="true"/>
    <RISOtherType xmlns="60B91B04-2990-4B57-B48B-0D67EE7C5EF0" xsi:nil="true"/>
    <RISGuid xmlns="60B91B04-2990-4B57-B48B-0D67EE7C5EF0">0f4480ee-d529-473f-bc7f-1e9d75d063dd</RISGuid>
    <RISCreatedBy xmlns="60B91B04-2990-4B57-B48B-0D67EE7C5EF0" xsi:nil="true"/>
    <RISSaveFlagAdmin xmlns="60B91B04-2990-4B57-B48B-0D67EE7C5EF0" xsi:nil="true"/>
    <RISPRelatedType xmlns="60B91B04-2990-4B57-B48B-0D67EE7C5EF0">File</RISPRelatedType>
    <_SourceUrl xmlns="http://schemas.microsoft.com/sharepoint/v3" xsi:nil="true"/>
    <RISProductID xmlns="60B91B04-2990-4B57-B48B-0D67EE7C5EF0">54431</RISProductID>
    <RISWCMFlag xmlns="60B91B04-2990-4B57-B48B-0D67EE7C5EF0">New</RISWCMFlag>
    <RISCreateDate xmlns="60B91B04-2990-4B57-B48B-0D67EE7C5EF0" xsi:nil="true"/>
    <RISEmbargoDate xmlns="60B91B04-2990-4B57-B48B-0D67EE7C5EF0" xsi:nil="true"/>
    <RISModifiedDate xmlns="60B91B04-2990-4B57-B48B-0D67EE7C5EF0" xsi:nil="true"/>
    <xd_ProgID xmlns="http://schemas.microsoft.com/sharepoint/v3" xsi:nil="true"/>
    <RISAccessLevel xmlns="60B91B04-2990-4B57-B48B-0D67EE7C5EF0" xsi:nil="true"/>
    <RISPrimaryCitation xmlns="60B91B04-2990-4B57-B48B-0D67EE7C5EF0" xsi:nil="true"/>
    <RISUserType xmlns="60B91B04-2990-4B57-B48B-0D67EE7C5EF0" xsi:nil="true"/>
    <RISVisibility xmlns="60B91B04-2990-4B57-B48B-0D67EE7C5EF0" xsi:nil="true"/>
    <RISManuscriptType xmlns="60B91B04-2990-4B57-B48B-0D67EE7C5EF0" xsi:nil="true"/>
    <RISModifiedBy xmlns="60B91B04-2990-4B57-B48B-0D67EE7C5EF0" xsi:nil="true"/>
    <RISIncludeinFRProfile xmlns="60B91B04-2990-4B57-B48B-0D67EE7C5EF0" xsi:nil="true"/>
    <RISSendToDash xmlns="60B91B04-2990-4B57-B48B-0D67EE7C5EF0" xsi:nil="true"/>
    <RISDisplayName xmlns="60B91B04-2990-4B57-B48B-0D67EE7C5EF0">Snap Courseware.xlsx</RISDisplayName>
    <RISSaveFlag xmlns="60B91B04-2990-4B57-B48B-0D67EE7C5EF0">Draft</RISSaveFlag>
    <Order xmlns="http://schemas.microsoft.com/sharepoint/v3" xsi:nil="true"/>
    <_SharedFileIndex xmlns="http://schemas.microsoft.com/sharepoint/v3" xsi:nil="true"/>
    <RISPersonID xmlns="60B91B04-2990-4B57-B48B-0D67EE7C5EF0">6454</RISPersonID>
    <MetaInfo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Publication Files" ma:contentTypeID="0x00041BB9609029574BB48B0D67EE7C5EF0" ma:contentTypeVersion="" ma:contentTypeDescription="" ma:contentTypeScope="" ma:versionID="5315c70c70d028aec2ac959b5fb81a83">
  <xsd:schema xmlns:xsd="http://www.w3.org/2001/XMLSchema" xmlns:xs="http://www.w3.org/2001/XMLSchema" xmlns:p="http://schemas.microsoft.com/office/2006/metadata/properties" xmlns:ns1="http://schemas.microsoft.com/sharepoint/v3" xmlns:ns2="60B91B04-2990-4B57-B48B-0D67EE7C5EF0" targetNamespace="http://schemas.microsoft.com/office/2006/metadata/properties" ma:root="true" ma:fieldsID="61c8bcacd5ab5ce0727aeccdcf09618e" ns1:_="" ns2:_="">
    <xsd:import namespace="http://schemas.microsoft.com/sharepoint/v3"/>
    <xsd:import namespace="60B91B04-2990-4B57-B48B-0D67EE7C5EF0"/>
    <xsd:element name="properties">
      <xsd:complexType>
        <xsd:sequence>
          <xsd:element name="documentManagement">
            <xsd:complexType>
              <xsd:all>
                <xsd:element ref="ns1:ContentTypeId" minOccurs="0"/>
                <xsd:element ref="ns1:_ModerationComments" minOccurs="0"/>
                <xsd:element ref="ns1:File_x0020_Type" minOccurs="0"/>
                <xsd:element ref="ns1:HTML_x0020_File_x0020_Type" minOccurs="0"/>
                <xsd:element ref="ns1:_SourceUrl" minOccurs="0"/>
                <xsd:element ref="ns1:_SharedFileIndex" minOccurs="0"/>
                <xsd:element ref="ns1:TemplateUrl" minOccurs="0"/>
                <xsd:element ref="ns1:xd_ProgID" minOccurs="0"/>
                <xsd:element ref="ns1:xd_Signature" minOccurs="0"/>
                <xsd:element ref="ns2:RISManuscriptType" minOccurs="0"/>
                <xsd:element ref="ns2:RISOtherType" minOccurs="0"/>
                <xsd:element ref="ns2:RISAccessLevel" minOccurs="0"/>
                <xsd:element ref="ns2:RISEmbargoDate" minOccurs="0"/>
                <xsd:element ref="ns2:RISSendToDash" minOccurs="0"/>
                <xsd:element ref="ns2:RISProductID" minOccurs="0"/>
                <xsd:element ref="ns2:RISPrimaryCitation" minOccurs="0"/>
                <xsd:element ref="ns2:RISDisplayName" minOccurs="0"/>
                <xsd:element ref="ns2:RISSaveFlag" minOccurs="0"/>
                <xsd:element ref="ns2:RISUserType" minOccurs="0"/>
                <xsd:element ref="ns2:RISSaveFlagAdmin" minOccurs="0"/>
                <xsd:element ref="ns2:RISState" minOccurs="0"/>
                <xsd:element ref="ns2:RISWCMFlag" minOccurs="0"/>
                <xsd:element ref="ns2:RISCreateDate" minOccurs="0"/>
                <xsd:element ref="ns2:RISModifiedDate" minOccurs="0"/>
                <xsd:element ref="ns2:RISCreatedBy" minOccurs="0"/>
                <xsd:element ref="ns2:RISModifiedBy" minOccurs="0"/>
                <xsd:element ref="ns2:RISVisibility" minOccurs="0"/>
                <xsd:element ref="ns2:RISIncludeinFRProfile" minOccurs="0"/>
                <xsd:element ref="ns2:RISGuid" minOccurs="0"/>
                <xsd:element ref="ns2:RISPersonID" minOccurs="0"/>
                <xsd:element ref="ns2:RISPRelatedType" minOccurs="0"/>
                <xsd:element ref="ns1:ID" minOccurs="0"/>
                <xsd:element ref="ns1:Author" minOccurs="0"/>
                <xsd:element ref="ns1:Editor" minOccurs="0"/>
                <xsd:element ref="ns1:_HasCopyDestinations" minOccurs="0"/>
                <xsd:element ref="ns1:_CopySource" minOccurs="0"/>
                <xsd:element ref="ns1:_ModerationStatus" minOccurs="0"/>
                <xsd:element ref="ns1:FileRef" minOccurs="0"/>
                <xsd:element ref="ns1:FileDirRef" minOccurs="0"/>
                <xsd:element ref="ns1:Last_x0020_Modified" minOccurs="0"/>
                <xsd:element ref="ns1:Created_x0020_Date" minOccurs="0"/>
                <xsd:element ref="ns1:File_x0020_Size" minOccurs="0"/>
                <xsd:element ref="ns1:FSObjType" minOccurs="0"/>
                <xsd:element ref="ns1:SortBehavior" minOccurs="0"/>
                <xsd:element ref="ns1:CheckedOutUserId" minOccurs="0"/>
                <xsd:element ref="ns1:IsCheckedoutToLocal" minOccurs="0"/>
                <xsd:element ref="ns1:CheckoutUser" minOccurs="0"/>
                <xsd:element ref="ns1:UniqueId" minOccurs="0"/>
                <xsd:element ref="ns1:SyncClientId" minOccurs="0"/>
                <xsd:element ref="ns1:ProgId" minOccurs="0"/>
                <xsd:element ref="ns1:ScopeId" minOccurs="0"/>
                <xsd:element ref="ns1:VirusStatus" minOccurs="0"/>
                <xsd:element ref="ns1:CheckedOutTitle" minOccurs="0"/>
                <xsd:element ref="ns1:_CheckinComment" minOccurs="0"/>
                <xsd:element ref="ns1:MetaInfo" minOccurs="0"/>
                <xsd:element ref="ns1:_Level" minOccurs="0"/>
                <xsd:element ref="ns1:_IsCurrentVersion" minOccurs="0"/>
                <xsd:element ref="ns1:ItemChildCount" minOccurs="0"/>
                <xsd:element ref="ns1:FolderChildCount" minOccurs="0"/>
                <xsd:element ref="ns1:Restricted" minOccurs="0"/>
                <xsd:element ref="ns1:ContentVersion" minOccurs="0"/>
                <xsd:element ref="ns1:AppAuthor" minOccurs="0"/>
                <xsd:element ref="ns1:AppEditor" minOccurs="0"/>
                <xsd:element ref="ns1:owshiddenversion" minOccurs="0"/>
                <xsd:element ref="ns1:_UIVersion" minOccurs="0"/>
                <xsd:element ref="ns1:_UIVersionString" minOccurs="0"/>
                <xsd:element ref="ns1:InstanceID" minOccurs="0"/>
                <xsd:element ref="ns1:Order" minOccurs="0"/>
                <xsd:element ref="ns1:GUID" minOccurs="0"/>
                <xsd:element ref="ns1:WorkflowVersion" minOccurs="0"/>
                <xsd:element ref="ns1:WorkflowInstanceID" minOccurs="0"/>
                <xsd:element ref="ns1:ParentVersionString" minOccurs="0"/>
                <xsd:element ref="ns1:ParentLeafName" minOccurs="0"/>
                <xsd:element ref="ns1:DocConcurrencyNumber" minOccurs="0"/>
                <xsd:element ref="ns1:ParentUniqueId" minOccurs="0"/>
                <xsd:element ref="ns1:Stream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ontentTypeId" ma:index="0" nillable="true" ma:displayName="Content Type ID" ma:hidden="true" ma:internalName="ContentTypeId" ma:readOnly="true">
      <xsd:simpleType>
        <xsd:restriction base="dms:Unknown"/>
      </xsd:simpleType>
    </xsd:element>
    <xsd:element name="_ModerationComments" ma:index="1" nillable="true" ma:displayName="Approver Comments" ma:hidden="true" ma:internalName="_ModerationComments" ma:readOnly="true">
      <xsd:simpleType>
        <xsd:restriction base="dms:Note"/>
      </xsd:simpleType>
    </xsd:element>
    <xsd:element name="File_x0020_Type" ma:index="5" nillable="true" ma:displayName="File Type" ma:hidden="true" ma:internalName="File_x0020_Type" ma:readOnly="true">
      <xsd:simpleType>
        <xsd:restriction base="dms:Text"/>
      </xsd:simpleType>
    </xsd:element>
    <xsd:element name="HTML_x0020_File_x0020_Type" ma:index="6" nillable="true" ma:displayName="HTML File Type" ma:hidden="true" ma:internalName="HTML_x0020_File_x0020_Type" ma:readOnly="true">
      <xsd:simpleType>
        <xsd:restriction base="dms:Text"/>
      </xsd:simpleType>
    </xsd:element>
    <xsd:element name="_SourceUrl" ma:index="7" nillable="true" ma:displayName="Source URL" ma:hidden="true" ma:internalName="_SourceUrl">
      <xsd:simpleType>
        <xsd:restriction base="dms:Text"/>
      </xsd:simpleType>
    </xsd:element>
    <xsd:element name="_SharedFileIndex" ma:index="8" nillable="true" ma:displayName="Shared File Index" ma:hidden="true" ma:internalName="_SharedFileIndex">
      <xsd:simpleType>
        <xsd:restriction base="dms:Text"/>
      </xsd:simpleType>
    </xsd:element>
    <xsd:element name="TemplateUrl" ma:index="10" nillable="true" ma:displayName="Template Link" ma:hidden="true" ma:internalName="TemplateUrl">
      <xsd:simpleType>
        <xsd:restriction base="dms:Text"/>
      </xsd:simpleType>
    </xsd:element>
    <xsd:element name="xd_ProgID" ma:index="11" nillable="true" ma:displayName="HTML File Link" ma:hidden="true" ma:internalName="xd_ProgID">
      <xsd:simpleType>
        <xsd:restriction base="dms:Text"/>
      </xsd:simpleType>
    </xsd:element>
    <xsd:element name="xd_Signature" ma:index="12" nillable="true" ma:displayName="Is Signed" ma:hidden="true" ma:internalName="xd_Signature" ma:readOnly="true">
      <xsd:simpleType>
        <xsd:restriction base="dms:Boolean"/>
      </xsd:simpleType>
    </xsd:element>
    <xsd:element name="ID" ma:index="35" nillable="true" ma:displayName="ID" ma:internalName="ID" ma:readOnly="true">
      <xsd:simpleType>
        <xsd:restriction base="dms:Unknown"/>
      </xsd:simpleType>
    </xsd:element>
    <xsd:element name="Author" ma:index="38" nillable="true" ma:displayName="Created By" ma:list="UserInfo" ma:internalName="Auth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 ma:index="40" nillable="true" ma:displayName="Modified By" ma:list="UserInfo" ma:internalName="Edito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HasCopyDestinations" ma:index="41" nillable="true" ma:displayName="Has Copy Destinations" ma:hidden="true" ma:internalName="_HasCopyDestinations" ma:readOnly="true">
      <xsd:simpleType>
        <xsd:restriction base="dms:Boolean"/>
      </xsd:simpleType>
    </xsd:element>
    <xsd:element name="_CopySource" ma:index="42" nillable="true" ma:displayName="Copy Source" ma:internalName="_CopySource" ma:readOnly="true">
      <xsd:simpleType>
        <xsd:restriction base="dms:Text"/>
      </xsd:simpleType>
    </xsd:element>
    <xsd:element name="_ModerationStatus" ma:index="43" nillable="true" ma:displayName="Approval Status" ma:default="0" ma:hidden="true" ma:internalName="_ModerationStatus" ma:readOnly="true">
      <xsd:simpleType>
        <xsd:restriction base="dms:Unknown"/>
      </xsd:simpleType>
    </xsd:element>
    <xsd:element name="FileRef" ma:index="44" nillable="true" ma:displayName="URL Path" ma:hidden="true" ma:list="Docs" ma:internalName="FileRef" ma:readOnly="true" ma:showField="FullUrl">
      <xsd:simpleType>
        <xsd:restriction base="dms:Lookup"/>
      </xsd:simpleType>
    </xsd:element>
    <xsd:element name="FileDirRef" ma:index="45" nillable="true" ma:displayName="Path" ma:hidden="true" ma:list="Docs" ma:internalName="FileDirRef" ma:readOnly="true" ma:showField="DirName">
      <xsd:simpleType>
        <xsd:restriction base="dms:Lookup"/>
      </xsd:simpleType>
    </xsd:element>
    <xsd:element name="Last_x0020_Modified" ma:index="46" nillable="true" ma:displayName="Modified" ma:format="TRUE" ma:hidden="true" ma:list="Docs" ma:internalName="Last_x0020_Modified" ma:readOnly="true" ma:showField="TimeLastModified">
      <xsd:simpleType>
        <xsd:restriction base="dms:Lookup"/>
      </xsd:simpleType>
    </xsd:element>
    <xsd:element name="Created_x0020_Date" ma:index="47" nillable="true" ma:displayName="Created" ma:format="TRUE" ma:hidden="true" ma:list="Docs" ma:internalName="Created_x0020_Date" ma:readOnly="true" ma:showField="TimeCreated">
      <xsd:simpleType>
        <xsd:restriction base="dms:Lookup"/>
      </xsd:simpleType>
    </xsd:element>
    <xsd:element name="File_x0020_Size" ma:index="48" nillable="true" ma:displayName="File Size" ma:format="TRUE" ma:hidden="true" ma:list="Docs" ma:internalName="File_x0020_Size" ma:readOnly="true" ma:showField="SizeInKB">
      <xsd:simpleType>
        <xsd:restriction base="dms:Lookup"/>
      </xsd:simpleType>
    </xsd:element>
    <xsd:element name="FSObjType" ma:index="49" nillable="true" ma:displayName="Item Type" ma:hidden="true" ma:list="Docs" ma:internalName="FSObjType" ma:readOnly="true" ma:showField="FSType">
      <xsd:simpleType>
        <xsd:restriction base="dms:Lookup"/>
      </xsd:simpleType>
    </xsd:element>
    <xsd:element name="SortBehavior" ma:index="50" nillable="true" ma:displayName="Sort Type" ma:hidden="true" ma:list="Docs" ma:internalName="SortBehavior" ma:readOnly="true" ma:showField="SortBehavior">
      <xsd:simpleType>
        <xsd:restriction base="dms:Lookup"/>
      </xsd:simpleType>
    </xsd:element>
    <xsd:element name="CheckedOutUserId" ma:index="52" nillable="true" ma:displayName="ID of the User who has the item Checked Out" ma:hidden="true" ma:list="Docs" ma:internalName="CheckedOutUserId" ma:readOnly="true" ma:showField="CheckoutUserId">
      <xsd:simpleType>
        <xsd:restriction base="dms:Lookup"/>
      </xsd:simpleType>
    </xsd:element>
    <xsd:element name="IsCheckedoutToLocal" ma:index="53" nillable="true" ma:displayName="Is Checked out to local" ma:hidden="true" ma:list="Docs" ma:internalName="IsCheckedoutToLocal" ma:readOnly="true" ma:showField="IsCheckoutToLocal">
      <xsd:simpleType>
        <xsd:restriction base="dms:Lookup"/>
      </xsd:simpleType>
    </xsd:element>
    <xsd:element name="CheckoutUser" ma:index="54" nillable="true" ma:displayName="Checked Out To" ma:list="UserInfo" ma:internalName="CheckoutUser"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niqueId" ma:index="55" nillable="true" ma:displayName="Unique Id" ma:hidden="true" ma:list="Docs" ma:internalName="UniqueId" ma:readOnly="true" ma:showField="UniqueId">
      <xsd:simpleType>
        <xsd:restriction base="dms:Lookup"/>
      </xsd:simpleType>
    </xsd:element>
    <xsd:element name="SyncClientId" ma:index="56" nillable="true" ma:displayName="Client Id" ma:hidden="true" ma:list="Docs" ma:internalName="SyncClientId" ma:readOnly="true" ma:showField="SyncClientId">
      <xsd:simpleType>
        <xsd:restriction base="dms:Lookup"/>
      </xsd:simpleType>
    </xsd:element>
    <xsd:element name="ProgId" ma:index="57" nillable="true" ma:displayName="ProgId" ma:hidden="true" ma:list="Docs" ma:internalName="ProgId" ma:readOnly="true" ma:showField="ProgId">
      <xsd:simpleType>
        <xsd:restriction base="dms:Lookup"/>
      </xsd:simpleType>
    </xsd:element>
    <xsd:element name="ScopeId" ma:index="58" nillable="true" ma:displayName="ScopeId" ma:hidden="true" ma:list="Docs" ma:internalName="ScopeId" ma:readOnly="true" ma:showField="ScopeId">
      <xsd:simpleType>
        <xsd:restriction base="dms:Lookup"/>
      </xsd:simpleType>
    </xsd:element>
    <xsd:element name="VirusStatus" ma:index="59" nillable="true" ma:displayName="Virus Status" ma:format="TRUE" ma:hidden="true" ma:list="Docs" ma:internalName="VirusStatus" ma:readOnly="true" ma:showField="Size">
      <xsd:simpleType>
        <xsd:restriction base="dms:Lookup"/>
      </xsd:simpleType>
    </xsd:element>
    <xsd:element name="CheckedOutTitle" ma:index="60" nillable="true" ma:displayName="Checked Out To" ma:format="TRUE" ma:hidden="true" ma:list="Docs" ma:internalName="CheckedOutTitle" ma:readOnly="true" ma:showField="CheckedOutTitle">
      <xsd:simpleType>
        <xsd:restriction base="dms:Lookup"/>
      </xsd:simpleType>
    </xsd:element>
    <xsd:element name="_CheckinComment" ma:index="61" nillable="true" ma:displayName="Check In Comment" ma:format="TRUE" ma:list="Docs" ma:internalName="_CheckinComment" ma:readOnly="true" ma:showField="CheckinComment">
      <xsd:simpleType>
        <xsd:restriction base="dms:Lookup"/>
      </xsd:simpleType>
    </xsd:element>
    <xsd:element name="MetaInfo" ma:index="74" nillable="true" ma:displayName="Property Bag" ma:hidden="true" ma:list="Docs" ma:internalName="MetaInfo" ma:showField="MetaInfo">
      <xsd:simpleType>
        <xsd:restriction base="dms:Lookup"/>
      </xsd:simpleType>
    </xsd:element>
    <xsd:element name="_Level" ma:index="75" nillable="true" ma:displayName="Level" ma:hidden="true" ma:internalName="_Level" ma:readOnly="true">
      <xsd:simpleType>
        <xsd:restriction base="dms:Unknown"/>
      </xsd:simpleType>
    </xsd:element>
    <xsd:element name="_IsCurrentVersion" ma:index="76" nillable="true" ma:displayName="Is Current Version" ma:hidden="true" ma:internalName="_IsCurrentVersion" ma:readOnly="true">
      <xsd:simpleType>
        <xsd:restriction base="dms:Boolean"/>
      </xsd:simpleType>
    </xsd:element>
    <xsd:element name="ItemChildCount" ma:index="77" nillable="true" ma:displayName="Item Child Count" ma:hidden="true" ma:list="Docs" ma:internalName="ItemChildCount" ma:readOnly="true" ma:showField="ItemChildCount">
      <xsd:simpleType>
        <xsd:restriction base="dms:Lookup"/>
      </xsd:simpleType>
    </xsd:element>
    <xsd:element name="FolderChildCount" ma:index="78" nillable="true" ma:displayName="Folder Child Count" ma:hidden="true" ma:list="Docs" ma:internalName="FolderChildCount" ma:readOnly="true" ma:showField="FolderChildCount">
      <xsd:simpleType>
        <xsd:restriction base="dms:Lookup"/>
      </xsd:simpleType>
    </xsd:element>
    <xsd:element name="Restricted" ma:index="79" nillable="true" ma:displayName="Restricted" ma:hidden="true" ma:list="Docs" ma:internalName="Restricted" ma:readOnly="true" ma:showField="Restricted">
      <xsd:simpleType>
        <xsd:restriction base="dms:Lookup"/>
      </xsd:simpleType>
    </xsd:element>
    <xsd:element name="ContentVersion" ma:index="80" nillable="true" ma:displayName="$Resources:core,Content_Version;" ma:hidden="true" ma:list="Docs" ma:internalName="ContentVersion" ma:readOnly="true" ma:showField="ContentVersion">
      <xsd:simpleType>
        <xsd:restriction base="dms:Lookup"/>
      </xsd:simpleType>
    </xsd:element>
    <xsd:element name="AppAuthor" ma:index="81" nillable="true" ma:displayName="App Created By" ma:list="AppPrincipals" ma:internalName="AppAuthor" ma:readOnly="true" ma:showField="Title">
      <xsd:simpleType>
        <xsd:restriction base="dms:Lookup"/>
      </xsd:simpleType>
    </xsd:element>
    <xsd:element name="AppEditor" ma:index="82" nillable="true" ma:displayName="App Modified By" ma:list="AppPrincipals" ma:internalName="AppEditor" ma:readOnly="true" ma:showField="Title">
      <xsd:simpleType>
        <xsd:restriction base="dms:Lookup"/>
      </xsd:simpleType>
    </xsd:element>
    <xsd:element name="owshiddenversion" ma:index="86" nillable="true" ma:displayName="owshiddenversion" ma:hidden="true" ma:internalName="owshiddenversion" ma:readOnly="true">
      <xsd:simpleType>
        <xsd:restriction base="dms:Unknown"/>
      </xsd:simpleType>
    </xsd:element>
    <xsd:element name="_UIVersion" ma:index="87" nillable="true" ma:displayName="UI Version" ma:hidden="true" ma:internalName="_UIVersion" ma:readOnly="true">
      <xsd:simpleType>
        <xsd:restriction base="dms:Unknown"/>
      </xsd:simpleType>
    </xsd:element>
    <xsd:element name="_UIVersionString" ma:index="88" nillable="true" ma:displayName="Version" ma:internalName="_UIVersionString" ma:readOnly="true">
      <xsd:simpleType>
        <xsd:restriction base="dms:Text"/>
      </xsd:simpleType>
    </xsd:element>
    <xsd:element name="InstanceID" ma:index="89" nillable="true" ma:displayName="Instance ID" ma:hidden="true" ma:internalName="InstanceID" ma:readOnly="true">
      <xsd:simpleType>
        <xsd:restriction base="dms:Unknown"/>
      </xsd:simpleType>
    </xsd:element>
    <xsd:element name="Order" ma:index="90" nillable="true" ma:displayName="Order" ma:hidden="true" ma:internalName="Order">
      <xsd:simpleType>
        <xsd:restriction base="dms:Number"/>
      </xsd:simpleType>
    </xsd:element>
    <xsd:element name="GUID" ma:index="91" nillable="true" ma:displayName="GUID" ma:hidden="true" ma:internalName="GUID" ma:readOnly="true">
      <xsd:simpleType>
        <xsd:restriction base="dms:Unknown"/>
      </xsd:simpleType>
    </xsd:element>
    <xsd:element name="WorkflowVersion" ma:index="92" nillable="true" ma:displayName="Workflow Version" ma:hidden="true" ma:internalName="WorkflowVersion" ma:readOnly="true">
      <xsd:simpleType>
        <xsd:restriction base="dms:Unknown"/>
      </xsd:simpleType>
    </xsd:element>
    <xsd:element name="WorkflowInstanceID" ma:index="93" nillable="true" ma:displayName="Workflow Instance ID" ma:hidden="true" ma:internalName="WorkflowInstanceID" ma:readOnly="true">
      <xsd:simpleType>
        <xsd:restriction base="dms:Unknown"/>
      </xsd:simpleType>
    </xsd:element>
    <xsd:element name="ParentVersionString" ma:index="94" nillable="true" ma:displayName="Source Version (Converted Document)" ma:hidden="true" ma:list="Docs" ma:internalName="ParentVersionString" ma:readOnly="true" ma:showField="ParentVersionString">
      <xsd:simpleType>
        <xsd:restriction base="dms:Lookup"/>
      </xsd:simpleType>
    </xsd:element>
    <xsd:element name="ParentLeafName" ma:index="95" nillable="true" ma:displayName="Source Name (Converted Document)" ma:hidden="true" ma:list="Docs" ma:internalName="ParentLeafName" ma:readOnly="true" ma:showField="ParentLeafName">
      <xsd:simpleType>
        <xsd:restriction base="dms:Lookup"/>
      </xsd:simpleType>
    </xsd:element>
    <xsd:element name="DocConcurrencyNumber" ma:index="96" nillable="true" ma:displayName="Document Concurrency Number" ma:hidden="true" ma:list="Docs" ma:internalName="DocConcurrencyNumber" ma:readOnly="true" ma:showField="DocConcurrencyNumber">
      <xsd:simpleType>
        <xsd:restriction base="dms:Lookup"/>
      </xsd:simpleType>
    </xsd:element>
    <xsd:element name="ParentUniqueId" ma:index="97" nillable="true" ma:displayName="Document Parent Identifier" ma:hidden="true" ma:list="Docs" ma:internalName="ParentUniqueId" ma:readOnly="true" ma:showField="ParentUniqueId">
      <xsd:simpleType>
        <xsd:restriction base="dms:Lookup"/>
      </xsd:simpleType>
    </xsd:element>
    <xsd:element name="StreamHash" ma:index="98" nillable="true" ma:displayName="Document Stream Hash" ma:hidden="true" ma:list="Docs" ma:internalName="StreamHash" ma:readOnly="true" ma:showField="StreamHash">
      <xsd:simpleType>
        <xsd:restriction base="dms:Lookup"/>
      </xsd:simpleType>
    </xsd:element>
  </xsd:schema>
  <xsd:schema xmlns:xsd="http://www.w3.org/2001/XMLSchema" xmlns:xs="http://www.w3.org/2001/XMLSchema" xmlns:dms="http://schemas.microsoft.com/office/2006/documentManagement/types" xmlns:pc="http://schemas.microsoft.com/office/infopath/2007/PartnerControls" targetNamespace="60B91B04-2990-4B57-B48B-0D67EE7C5EF0" elementFormDefault="qualified">
    <xsd:import namespace="http://schemas.microsoft.com/office/2006/documentManagement/types"/>
    <xsd:import namespace="http://schemas.microsoft.com/office/infopath/2007/PartnerControls"/>
    <xsd:element name="RISManuscriptType" ma:index="13" nillable="true" ma:displayName="Manuscript Type" ma:format="Dropdown" ma:internalName="RISManuscriptType">
      <xsd:simpleType>
        <xsd:restriction base="dms:Choice">
          <xsd:enumeration value="Author's original"/>
          <xsd:enumeration value="Author's final version"/>
          <xsd:enumeration value="Proof"/>
          <xsd:enumeration value="Published version"/>
          <xsd:enumeration value="Other"/>
        </xsd:restriction>
      </xsd:simpleType>
    </xsd:element>
    <xsd:element name="RISOtherType" ma:index="14" nillable="true" ma:displayName="Type" ma:internalName="RISOtherType">
      <xsd:simpleType>
        <xsd:restriction base="dms:Text">
          <xsd:maxLength value="120"/>
        </xsd:restriction>
      </xsd:simpleType>
    </xsd:element>
    <xsd:element name="RISAccessLevel" ma:index="15" nillable="true" ma:displayName="Access To" ma:format="Dropdown" ma:internalName="RISAccessLevel">
      <xsd:simpleType>
        <xsd:restriction base="dms:Choice">
          <xsd:enumeration value="Everyone"/>
          <xsd:enumeration value="HBS Only"/>
          <xsd:enumeration value="Private"/>
        </xsd:restriction>
      </xsd:simpleType>
    </xsd:element>
    <xsd:element name="RISEmbargoDate" ma:index="16" nillable="true" ma:displayName="Availability/Embargo Date" ma:format="DateOnly" ma:internalName="RISEmbargoDate">
      <xsd:simpleType>
        <xsd:restriction base="dms:DateTime"/>
      </xsd:simpleType>
    </xsd:element>
    <xsd:element name="RISSendToDash" ma:index="17" nillable="true" ma:displayName="DASH" ma:format="Dropdown" ma:internalName="RISSendToDash">
      <xsd:simpleType>
        <xsd:restriction base="dms:Choice">
          <xsd:enumeration value="Citation and File"/>
          <xsd:enumeration value="Citation Only"/>
          <xsd:enumeration value="Dark"/>
          <xsd:enumeration value="Do not send to DASH"/>
        </xsd:restriction>
      </xsd:simpleType>
    </xsd:element>
    <xsd:element name="RISProductID" ma:index="18" nillable="true" ma:displayName="Product ID" ma:internalName="RISProductID">
      <xsd:simpleType>
        <xsd:restriction base="dms:Number"/>
      </xsd:simpleType>
    </xsd:element>
    <xsd:element name="RISPrimaryCitation" ma:index="19" nillable="true" ma:displayName="Primary Citation" ma:format="Dropdown" ma:internalName="RISPrimaryCitation">
      <xsd:simpleType>
        <xsd:restriction base="dms:Choice">
          <xsd:enumeration value="F"/>
          <xsd:enumeration value="T"/>
        </xsd:restriction>
      </xsd:simpleType>
    </xsd:element>
    <xsd:element name="RISDisplayName" ma:index="20" nillable="true" ma:displayName="Display Name" ma:internalName="RISDisplayName">
      <xsd:simpleType>
        <xsd:restriction base="dms:Text">
          <xsd:maxLength value="120"/>
        </xsd:restriction>
      </xsd:simpleType>
    </xsd:element>
    <xsd:element name="RISSaveFlag" ma:index="21" nillable="true" ma:displayName="Save Flag" ma:internalName="RISSaveFlag">
      <xsd:simpleType>
        <xsd:restriction base="dms:Text">
          <xsd:maxLength value="255"/>
        </xsd:restriction>
      </xsd:simpleType>
    </xsd:element>
    <xsd:element name="RISUserType" ma:index="22" nillable="true" ma:displayName="User Type" ma:internalName="RISUserType">
      <xsd:simpleType>
        <xsd:restriction base="dms:Text">
          <xsd:maxLength value="100"/>
        </xsd:restriction>
      </xsd:simpleType>
    </xsd:element>
    <xsd:element name="RISSaveFlagAdmin" ma:index="23" nillable="true" ma:displayName="Save Flag Admin" ma:internalName="RISSaveFlagAdmin">
      <xsd:simpleType>
        <xsd:restriction base="dms:Text">
          <xsd:maxLength value="255"/>
        </xsd:restriction>
      </xsd:simpleType>
    </xsd:element>
    <xsd:element name="RISState" ma:index="24" nillable="true" ma:displayName="Publication State" ma:internalName="RISState">
      <xsd:simpleType>
        <xsd:restriction base="dms:Text">
          <xsd:maxLength value="255"/>
        </xsd:restriction>
      </xsd:simpleType>
    </xsd:element>
    <xsd:element name="RISWCMFlag" ma:index="25" nillable="true" ma:displayName="WCM Flag" ma:format="Dropdown" ma:internalName="RISWCMFlag">
      <xsd:simpleType>
        <xsd:restriction base="dms:Choice">
          <xsd:enumeration value="New"/>
          <xsd:enumeration value="Updated"/>
          <xsd:enumeration value="NoChange"/>
          <xsd:enumeration value="Deleted"/>
        </xsd:restriction>
      </xsd:simpleType>
    </xsd:element>
    <xsd:element name="RISCreateDate" ma:index="26" nillable="true" ma:displayName="Created Date" ma:format="DateOnly" ma:internalName="RISCreateDate">
      <xsd:simpleType>
        <xsd:restriction base="dms:DateTime"/>
      </xsd:simpleType>
    </xsd:element>
    <xsd:element name="RISModifiedDate" ma:index="27" nillable="true" ma:displayName="Modified Date" ma:format="DateOnly" ma:internalName="RISModifiedDate">
      <xsd:simpleType>
        <xsd:restriction base="dms:DateTime"/>
      </xsd:simpleType>
    </xsd:element>
    <xsd:element name="RISCreatedBy" ma:index="28" nillable="true" ma:displayName="RIS Created By" ma:internalName="RISCreatedBy">
      <xsd:simpleType>
        <xsd:restriction base="dms:Text">
          <xsd:maxLength value="100"/>
        </xsd:restriction>
      </xsd:simpleType>
    </xsd:element>
    <xsd:element name="RISModifiedBy" ma:index="29" nillable="true" ma:displayName="RIS Modified By" ma:internalName="RISModifiedBy">
      <xsd:simpleType>
        <xsd:restriction base="dms:Text">
          <xsd:maxLength value="100"/>
        </xsd:restriction>
      </xsd:simpleType>
    </xsd:element>
    <xsd:element name="RISVisibility" ma:index="30" nillable="true" ma:displayName="Visibility" ma:format="Dropdown" ma:internalName="RISVisibility">
      <xsd:simpleType>
        <xsd:restriction base="dms:Choice">
          <xsd:enumeration value="Public"/>
          <xsd:enumeration value="Suppressed"/>
        </xsd:restriction>
      </xsd:simpleType>
    </xsd:element>
    <xsd:element name="RISIncludeinFRProfile" ma:index="31" nillable="true" ma:displayName="Show on My F And R Profile" ma:internalName="RISIncludeinFRProfile">
      <xsd:simpleType>
        <xsd:restriction base="dms:Boolean"/>
      </xsd:simpleType>
    </xsd:element>
    <xsd:element name="RISGuid" ma:index="32" nillable="true" ma:displayName="Unique ID" ma:internalName="RISGuid">
      <xsd:simpleType>
        <xsd:restriction base="dms:Text">
          <xsd:maxLength value="36"/>
        </xsd:restriction>
      </xsd:simpleType>
    </xsd:element>
    <xsd:element name="RISPersonID" ma:index="33" nillable="true" ma:displayName="Person ID" ma:internalName="RISPersonID">
      <xsd:simpleType>
        <xsd:restriction base="dms:Text">
          <xsd:maxLength value="10"/>
        </xsd:restriction>
      </xsd:simpleType>
    </xsd:element>
    <xsd:element name="RISPRelatedType" ma:index="34" nillable="true" ma:displayName="Related Type" ma:internalName="RISPRelatedType">
      <xsd:simpleType>
        <xsd:restriction base="dms:Text">
          <xsd:maxLength value="120"/>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36" ma:displayName="Content Type"/>
        <xsd:element ref="dc:title" minOccurs="0" maxOccurs="1" ma:index="9"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9C12E6-9E51-464D-A804-6229DD5CB320}">
  <ds:schemaRefs>
    <ds:schemaRef ds:uri="http://schemas.microsoft.com/sharepoint/v3"/>
    <ds:schemaRef ds:uri="http://purl.org/dc/terms/"/>
    <ds:schemaRef ds:uri="http://schemas.openxmlformats.org/package/2006/metadata/core-properties"/>
    <ds:schemaRef ds:uri="60B91B04-2990-4B57-B48B-0D67EE7C5EF0"/>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53F4223E-A0A7-4BDF-9E74-38EC56AE07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0B91B04-2990-4B57-B48B-0D67EE7C5E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Copyright</vt:lpstr>
      <vt:lpstr>Ex #2 Rev Model</vt:lpstr>
      <vt:lpstr>Ex #3 Rev vs Comps</vt:lpstr>
      <vt:lpstr>Ex #4 Inc-Statement</vt:lpstr>
      <vt:lpstr>Ex #5 Quarterly Fin</vt:lpstr>
      <vt:lpstr>Ex #6 Balance Sheet</vt:lpstr>
      <vt:lpstr>Ex #7 Snap Ratings Over Time</vt:lpstr>
      <vt:lpstr>Ex #8 Analyst Recs Rev</vt:lpstr>
      <vt:lpstr>Ex #9 Analyst Forecasts</vt:lpstr>
      <vt:lpstr>Ex #10 FCF &amp; Assumptions</vt:lpstr>
      <vt:lpstr>Ex #11 MS WACCs</vt:lpstr>
      <vt:lpstr>Ex #12 MS Ratings Universe</vt:lpstr>
    </vt:vector>
  </TitlesOfParts>
  <Company>Harvard Business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Snap Courseware_189cccf7-2c43-4d0e-9c99-5fd6c5df405d.xlsx</dc:title>
  <dc:creator>Ben Esty</dc:creator>
  <cp:lastModifiedBy>Notosoehardjo, Soebagio</cp:lastModifiedBy>
  <cp:lastPrinted>2018-10-11T15:01:13Z</cp:lastPrinted>
  <dcterms:created xsi:type="dcterms:W3CDTF">2018-03-19T13:38:39Z</dcterms:created>
  <dcterms:modified xsi:type="dcterms:W3CDTF">2021-04-21T17:40:12Z</dcterms:modified>
</cp:coreProperties>
</file>