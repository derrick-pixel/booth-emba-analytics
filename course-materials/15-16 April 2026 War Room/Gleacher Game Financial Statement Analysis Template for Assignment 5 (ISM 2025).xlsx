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pkfitzge/Library/CloudStorage/GoogleDrive-kathleen.fitzgerald@chicagobooth.edu/My Drive/Kathleen Booth/Director of Academic Support/ISM and SS 2025/ISM Hong Kong/Assignments/"/>
    </mc:Choice>
  </mc:AlternateContent>
  <xr:revisionPtr revIDLastSave="0" documentId="8_{51D3A7B4-B422-E348-8F4E-73DFF005BF4B}" xr6:coauthVersionLast="47" xr6:coauthVersionMax="47" xr10:uidLastSave="{00000000-0000-0000-0000-000000000000}"/>
  <bookViews>
    <workbookView xWindow="0" yWindow="760" windowWidth="34560" windowHeight="19320" activeTab="1" xr2:uid="{00000000-000D-0000-FFFF-FFFF00000000}"/>
  </bookViews>
  <sheets>
    <sheet name="Instructions" sheetId="5" r:id="rId1"/>
    <sheet name="Financial Statement Analysi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19" i="4" l="1"/>
  <c r="O119" i="4"/>
  <c r="N119" i="4"/>
  <c r="K119" i="4"/>
  <c r="J119" i="4"/>
  <c r="I119" i="4"/>
  <c r="E119" i="4"/>
  <c r="D119" i="4"/>
  <c r="F119" i="4"/>
  <c r="P125" i="4"/>
  <c r="O125" i="4"/>
  <c r="N125" i="4"/>
  <c r="K125" i="4"/>
  <c r="J125" i="4"/>
  <c r="I125" i="4"/>
  <c r="E125" i="4"/>
  <c r="D125" i="4"/>
  <c r="F125" i="4"/>
  <c r="P128" i="4"/>
  <c r="O128" i="4"/>
  <c r="N128" i="4"/>
  <c r="K128" i="4"/>
  <c r="J128" i="4"/>
  <c r="I128" i="4"/>
  <c r="P127" i="4"/>
  <c r="O127" i="4"/>
  <c r="N127" i="4"/>
  <c r="K127" i="4"/>
  <c r="J127" i="4"/>
  <c r="I127" i="4"/>
  <c r="E127" i="4"/>
  <c r="E128" i="4" s="1"/>
  <c r="D127" i="4"/>
  <c r="D128" i="4" s="1"/>
  <c r="F127" i="4"/>
  <c r="F128" i="4" s="1"/>
  <c r="P121" i="4"/>
  <c r="O121" i="4"/>
  <c r="N121" i="4"/>
  <c r="K121" i="4"/>
  <c r="J121" i="4"/>
  <c r="I121" i="4"/>
  <c r="E121" i="4"/>
  <c r="D121" i="4"/>
  <c r="F121" i="4"/>
  <c r="P160" i="4"/>
  <c r="O160" i="4"/>
  <c r="N160" i="4"/>
  <c r="P159" i="4"/>
  <c r="O159" i="4"/>
  <c r="N159" i="4"/>
  <c r="P157" i="4"/>
  <c r="P158" i="4" s="1"/>
  <c r="O157" i="4"/>
  <c r="O158" i="4" s="1"/>
  <c r="N157" i="4"/>
  <c r="N158" i="4" s="1"/>
  <c r="P156" i="4"/>
  <c r="O156" i="4"/>
  <c r="N156" i="4"/>
  <c r="P155" i="4"/>
  <c r="O155" i="4"/>
  <c r="N155" i="4"/>
  <c r="P154" i="4"/>
  <c r="O154" i="4"/>
  <c r="N154" i="4"/>
  <c r="P153" i="4"/>
  <c r="O153" i="4"/>
  <c r="N153" i="4"/>
  <c r="P152" i="4"/>
  <c r="O152" i="4"/>
  <c r="N152" i="4"/>
  <c r="K160" i="4"/>
  <c r="J160" i="4"/>
  <c r="I160" i="4"/>
  <c r="K159" i="4"/>
  <c r="J159" i="4"/>
  <c r="I159" i="4"/>
  <c r="K157" i="4"/>
  <c r="K158" i="4" s="1"/>
  <c r="J157" i="4"/>
  <c r="J158" i="4" s="1"/>
  <c r="I157" i="4"/>
  <c r="I158" i="4" s="1"/>
  <c r="K156" i="4"/>
  <c r="J156" i="4"/>
  <c r="I156" i="4"/>
  <c r="K155" i="4"/>
  <c r="J155" i="4"/>
  <c r="I155" i="4"/>
  <c r="K154" i="4"/>
  <c r="J154" i="4"/>
  <c r="I154" i="4"/>
  <c r="K153" i="4"/>
  <c r="J153" i="4"/>
  <c r="I153" i="4"/>
  <c r="K152" i="4"/>
  <c r="J152" i="4"/>
  <c r="I152" i="4"/>
  <c r="E160" i="4"/>
  <c r="D160" i="4"/>
  <c r="E159" i="4"/>
  <c r="D159" i="4"/>
  <c r="E157" i="4"/>
  <c r="E158" i="4" s="1"/>
  <c r="D157" i="4"/>
  <c r="D158" i="4" s="1"/>
  <c r="E156" i="4"/>
  <c r="D156" i="4"/>
  <c r="E155" i="4"/>
  <c r="D155" i="4"/>
  <c r="E154" i="4"/>
  <c r="D154" i="4"/>
  <c r="E153" i="4"/>
  <c r="D153" i="4"/>
  <c r="E152" i="4"/>
  <c r="D152" i="4"/>
  <c r="F160" i="4"/>
  <c r="F159" i="4"/>
  <c r="F157" i="4"/>
  <c r="F156" i="4"/>
  <c r="F154" i="4"/>
  <c r="F152" i="4"/>
  <c r="E79" i="4"/>
  <c r="D79" i="4"/>
  <c r="C79" i="4"/>
  <c r="E74" i="4"/>
  <c r="D74" i="4"/>
  <c r="C74" i="4"/>
  <c r="E71" i="4"/>
  <c r="E75" i="4" s="1"/>
  <c r="E80" i="4" s="1"/>
  <c r="D71" i="4"/>
  <c r="C71" i="4"/>
  <c r="E64" i="4"/>
  <c r="E65" i="4" s="1"/>
  <c r="D64" i="4"/>
  <c r="D65" i="4" s="1"/>
  <c r="C64" i="4"/>
  <c r="C65" i="4" s="1"/>
  <c r="E56" i="4"/>
  <c r="D56" i="4"/>
  <c r="C56" i="4"/>
  <c r="E22" i="4"/>
  <c r="D22" i="4"/>
  <c r="E18" i="4"/>
  <c r="D18" i="4"/>
  <c r="E14" i="4"/>
  <c r="D14" i="4"/>
  <c r="E10" i="4"/>
  <c r="D10" i="4"/>
  <c r="N163" i="4"/>
  <c r="N151" i="4"/>
  <c r="N144" i="4"/>
  <c r="P141" i="4"/>
  <c r="O141" i="4"/>
  <c r="N141" i="4"/>
  <c r="P140" i="4"/>
  <c r="O140" i="4"/>
  <c r="N140" i="4"/>
  <c r="P139" i="4"/>
  <c r="O139" i="4"/>
  <c r="N139" i="4"/>
  <c r="P138" i="4"/>
  <c r="O138" i="4"/>
  <c r="N138" i="4"/>
  <c r="P137" i="4"/>
  <c r="O137" i="4"/>
  <c r="N137" i="4"/>
  <c r="P136" i="4"/>
  <c r="O136" i="4"/>
  <c r="N136" i="4"/>
  <c r="P135" i="4"/>
  <c r="O135" i="4"/>
  <c r="N135" i="4"/>
  <c r="P134" i="4"/>
  <c r="O134" i="4"/>
  <c r="N134" i="4"/>
  <c r="P133" i="4"/>
  <c r="O133" i="4"/>
  <c r="N133" i="4"/>
  <c r="P132" i="4"/>
  <c r="O132" i="4"/>
  <c r="N132" i="4"/>
  <c r="N131" i="4"/>
  <c r="N124" i="4"/>
  <c r="N118" i="4"/>
  <c r="M84" i="4"/>
  <c r="P79" i="4"/>
  <c r="P167" i="4" s="1"/>
  <c r="O79" i="4"/>
  <c r="O167" i="4" s="1"/>
  <c r="N79" i="4"/>
  <c r="N167" i="4" s="1"/>
  <c r="M79" i="4"/>
  <c r="P74" i="4"/>
  <c r="O74" i="4"/>
  <c r="N74" i="4"/>
  <c r="M74" i="4"/>
  <c r="P71" i="4"/>
  <c r="P166" i="4" s="1"/>
  <c r="O71" i="4"/>
  <c r="N71" i="4"/>
  <c r="N75" i="4" s="1"/>
  <c r="M71" i="4"/>
  <c r="P64" i="4"/>
  <c r="P65" i="4" s="1"/>
  <c r="O64" i="4"/>
  <c r="N64" i="4"/>
  <c r="M64" i="4"/>
  <c r="P56" i="4"/>
  <c r="O56" i="4"/>
  <c r="O165" i="4" s="1"/>
  <c r="N56" i="4"/>
  <c r="M56" i="4"/>
  <c r="N49" i="4"/>
  <c r="N84" i="4" s="1"/>
  <c r="P45" i="4"/>
  <c r="O45" i="4"/>
  <c r="N45" i="4"/>
  <c r="P42" i="4"/>
  <c r="O42" i="4"/>
  <c r="N42" i="4"/>
  <c r="P41" i="4"/>
  <c r="O41" i="4"/>
  <c r="N41" i="4"/>
  <c r="P38" i="4"/>
  <c r="O38" i="4"/>
  <c r="N38" i="4"/>
  <c r="P37" i="4"/>
  <c r="O37" i="4"/>
  <c r="N37" i="4"/>
  <c r="P36" i="4"/>
  <c r="O36" i="4"/>
  <c r="N36" i="4"/>
  <c r="P34" i="4"/>
  <c r="O34" i="4"/>
  <c r="N34" i="4"/>
  <c r="P33" i="4"/>
  <c r="O33" i="4"/>
  <c r="N33" i="4"/>
  <c r="P32" i="4"/>
  <c r="O32" i="4"/>
  <c r="N32" i="4"/>
  <c r="P30" i="4"/>
  <c r="O30" i="4"/>
  <c r="N30" i="4"/>
  <c r="P29" i="4"/>
  <c r="O29" i="4"/>
  <c r="N29" i="4"/>
  <c r="N28" i="4"/>
  <c r="P22" i="4"/>
  <c r="O22" i="4"/>
  <c r="N22" i="4"/>
  <c r="P18" i="4"/>
  <c r="P39" i="4" s="1"/>
  <c r="O18" i="4"/>
  <c r="O39" i="4" s="1"/>
  <c r="N18" i="4"/>
  <c r="N39" i="4" s="1"/>
  <c r="P14" i="4"/>
  <c r="O14" i="4"/>
  <c r="N14" i="4"/>
  <c r="P10" i="4"/>
  <c r="O10" i="4"/>
  <c r="N10" i="4"/>
  <c r="O7" i="4"/>
  <c r="P7" i="4" s="1"/>
  <c r="I163" i="4"/>
  <c r="I151" i="4"/>
  <c r="I144" i="4"/>
  <c r="K141" i="4"/>
  <c r="J141" i="4"/>
  <c r="I141" i="4"/>
  <c r="K140" i="4"/>
  <c r="J140" i="4"/>
  <c r="I140" i="4"/>
  <c r="K139" i="4"/>
  <c r="J139" i="4"/>
  <c r="I139" i="4"/>
  <c r="K138" i="4"/>
  <c r="J138" i="4"/>
  <c r="I138" i="4"/>
  <c r="K137" i="4"/>
  <c r="J137" i="4"/>
  <c r="I137" i="4"/>
  <c r="K136" i="4"/>
  <c r="J136" i="4"/>
  <c r="I136" i="4"/>
  <c r="K135" i="4"/>
  <c r="J135" i="4"/>
  <c r="I135" i="4"/>
  <c r="K134" i="4"/>
  <c r="J134" i="4"/>
  <c r="I134" i="4"/>
  <c r="K133" i="4"/>
  <c r="J133" i="4"/>
  <c r="I133" i="4"/>
  <c r="K132" i="4"/>
  <c r="J132" i="4"/>
  <c r="I132" i="4"/>
  <c r="I131" i="4"/>
  <c r="I124" i="4"/>
  <c r="I118" i="4"/>
  <c r="H84" i="4"/>
  <c r="K79" i="4"/>
  <c r="K167" i="4" s="1"/>
  <c r="J79" i="4"/>
  <c r="J167" i="4" s="1"/>
  <c r="I79" i="4"/>
  <c r="I167" i="4" s="1"/>
  <c r="H79" i="4"/>
  <c r="K74" i="4"/>
  <c r="J74" i="4"/>
  <c r="I74" i="4"/>
  <c r="H74" i="4"/>
  <c r="K71" i="4"/>
  <c r="J71" i="4"/>
  <c r="I71" i="4"/>
  <c r="I166" i="4" s="1"/>
  <c r="H71" i="4"/>
  <c r="K64" i="4"/>
  <c r="K65" i="4" s="1"/>
  <c r="J64" i="4"/>
  <c r="I64" i="4"/>
  <c r="I65" i="4" s="1"/>
  <c r="H64" i="4"/>
  <c r="K56" i="4"/>
  <c r="J56" i="4"/>
  <c r="I56" i="4"/>
  <c r="H56" i="4"/>
  <c r="I49" i="4"/>
  <c r="I84" i="4" s="1"/>
  <c r="K45" i="4"/>
  <c r="J45" i="4"/>
  <c r="I45" i="4"/>
  <c r="K42" i="4"/>
  <c r="J42" i="4"/>
  <c r="I42" i="4"/>
  <c r="K41" i="4"/>
  <c r="J41" i="4"/>
  <c r="I41" i="4"/>
  <c r="K38" i="4"/>
  <c r="J38" i="4"/>
  <c r="I38" i="4"/>
  <c r="K37" i="4"/>
  <c r="J37" i="4"/>
  <c r="I37" i="4"/>
  <c r="K36" i="4"/>
  <c r="J36" i="4"/>
  <c r="I36" i="4"/>
  <c r="K34" i="4"/>
  <c r="J34" i="4"/>
  <c r="I34" i="4"/>
  <c r="K33" i="4"/>
  <c r="J33" i="4"/>
  <c r="I33" i="4"/>
  <c r="K32" i="4"/>
  <c r="J32" i="4"/>
  <c r="I32" i="4"/>
  <c r="K30" i="4"/>
  <c r="J30" i="4"/>
  <c r="I30" i="4"/>
  <c r="K29" i="4"/>
  <c r="J29" i="4"/>
  <c r="I29" i="4"/>
  <c r="I28" i="4"/>
  <c r="K22" i="4"/>
  <c r="J22" i="4"/>
  <c r="J43" i="4" s="1"/>
  <c r="I22" i="4"/>
  <c r="K18" i="4"/>
  <c r="K39" i="4" s="1"/>
  <c r="J18" i="4"/>
  <c r="J39" i="4" s="1"/>
  <c r="I18" i="4"/>
  <c r="I39" i="4" s="1"/>
  <c r="K14" i="4"/>
  <c r="J14" i="4"/>
  <c r="I14" i="4"/>
  <c r="K10" i="4"/>
  <c r="J10" i="4"/>
  <c r="J31" i="4" s="1"/>
  <c r="I10" i="4"/>
  <c r="J7" i="4"/>
  <c r="K7" i="4" s="1"/>
  <c r="F10" i="4"/>
  <c r="F145" i="4" s="1"/>
  <c r="F14" i="4"/>
  <c r="F35" i="4" s="1"/>
  <c r="F18" i="4"/>
  <c r="F39" i="4" s="1"/>
  <c r="F22" i="4"/>
  <c r="F43" i="4" s="1"/>
  <c r="F29" i="4"/>
  <c r="F30" i="4"/>
  <c r="F32" i="4"/>
  <c r="F33" i="4"/>
  <c r="F34" i="4"/>
  <c r="F36" i="4"/>
  <c r="F37" i="4"/>
  <c r="F38" i="4"/>
  <c r="F41" i="4"/>
  <c r="F42" i="4"/>
  <c r="F45" i="4"/>
  <c r="F56" i="4"/>
  <c r="F64" i="4"/>
  <c r="F65" i="4" s="1"/>
  <c r="F71" i="4"/>
  <c r="F74" i="4"/>
  <c r="F79" i="4"/>
  <c r="F167" i="4" s="1"/>
  <c r="F132" i="4"/>
  <c r="F133" i="4"/>
  <c r="F134" i="4"/>
  <c r="F135" i="4"/>
  <c r="F136" i="4"/>
  <c r="F137" i="4"/>
  <c r="F138" i="4"/>
  <c r="F139" i="4"/>
  <c r="F140" i="4"/>
  <c r="F141" i="4"/>
  <c r="F153" i="4"/>
  <c r="F155" i="4"/>
  <c r="C75" i="4" l="1"/>
  <c r="C80" i="4" s="1"/>
  <c r="D75" i="4"/>
  <c r="D80" i="4" s="1"/>
  <c r="E66" i="4"/>
  <c r="C66" i="4"/>
  <c r="E19" i="4"/>
  <c r="E23" i="4" s="1"/>
  <c r="E25" i="4" s="1"/>
  <c r="D66" i="4"/>
  <c r="D19" i="4"/>
  <c r="D23" i="4" s="1"/>
  <c r="D25" i="4" s="1"/>
  <c r="J164" i="4"/>
  <c r="K75" i="4"/>
  <c r="K80" i="4" s="1"/>
  <c r="N165" i="4"/>
  <c r="P19" i="4"/>
  <c r="P23" i="4" s="1"/>
  <c r="I75" i="4"/>
  <c r="I80" i="4" s="1"/>
  <c r="P75" i="4"/>
  <c r="P80" i="4" s="1"/>
  <c r="O151" i="4"/>
  <c r="O49" i="4"/>
  <c r="O84" i="4" s="1"/>
  <c r="O131" i="4"/>
  <c r="M75" i="4"/>
  <c r="M80" i="4" s="1"/>
  <c r="H75" i="4"/>
  <c r="H80" i="4" s="1"/>
  <c r="J75" i="4"/>
  <c r="J80" i="4" s="1"/>
  <c r="O75" i="4"/>
  <c r="J166" i="4"/>
  <c r="N19" i="4"/>
  <c r="N23" i="4" s="1"/>
  <c r="O19" i="4"/>
  <c r="O40" i="4" s="1"/>
  <c r="N80" i="4"/>
  <c r="P66" i="4"/>
  <c r="P106" i="4" s="1"/>
  <c r="P144" i="4"/>
  <c r="P124" i="4"/>
  <c r="P118" i="4"/>
  <c r="P28" i="4"/>
  <c r="P163" i="4"/>
  <c r="P49" i="4"/>
  <c r="P84" i="4" s="1"/>
  <c r="P151" i="4"/>
  <c r="P131" i="4"/>
  <c r="P145" i="4"/>
  <c r="P165" i="4"/>
  <c r="N166" i="4"/>
  <c r="N145" i="4"/>
  <c r="O145" i="4"/>
  <c r="O166" i="4"/>
  <c r="J19" i="4"/>
  <c r="J40" i="4" s="1"/>
  <c r="M65" i="4"/>
  <c r="N31" i="4"/>
  <c r="N35" i="4"/>
  <c r="N43" i="4"/>
  <c r="N65" i="4"/>
  <c r="N66" i="4" s="1"/>
  <c r="O31" i="4"/>
  <c r="O35" i="4"/>
  <c r="O43" i="4"/>
  <c r="O65" i="4"/>
  <c r="O163" i="4"/>
  <c r="I19" i="4"/>
  <c r="I146" i="4" s="1"/>
  <c r="P31" i="4"/>
  <c r="P35" i="4"/>
  <c r="P43" i="4"/>
  <c r="M66" i="4"/>
  <c r="K19" i="4"/>
  <c r="K164" i="4" s="1"/>
  <c r="O28" i="4"/>
  <c r="O118" i="4"/>
  <c r="O124" i="4"/>
  <c r="O144" i="4"/>
  <c r="O66" i="4"/>
  <c r="K144" i="4"/>
  <c r="K124" i="4"/>
  <c r="K118" i="4"/>
  <c r="K28" i="4"/>
  <c r="K163" i="4"/>
  <c r="K49" i="4"/>
  <c r="K84" i="4" s="1"/>
  <c r="K151" i="4"/>
  <c r="K131" i="4"/>
  <c r="J131" i="4"/>
  <c r="J145" i="4"/>
  <c r="J151" i="4"/>
  <c r="J165" i="4"/>
  <c r="J28" i="4"/>
  <c r="K145" i="4"/>
  <c r="K165" i="4"/>
  <c r="I145" i="4"/>
  <c r="I165" i="4"/>
  <c r="H65" i="4"/>
  <c r="H66" i="4" s="1"/>
  <c r="K166" i="4"/>
  <c r="I31" i="4"/>
  <c r="I35" i="4"/>
  <c r="I43" i="4"/>
  <c r="K66" i="4"/>
  <c r="J35" i="4"/>
  <c r="J49" i="4"/>
  <c r="J84" i="4" s="1"/>
  <c r="J65" i="4"/>
  <c r="J163" i="4"/>
  <c r="K31" i="4"/>
  <c r="K35" i="4"/>
  <c r="K43" i="4"/>
  <c r="J118" i="4"/>
  <c r="I66" i="4"/>
  <c r="I106" i="4" s="1"/>
  <c r="J124" i="4"/>
  <c r="J144" i="4"/>
  <c r="F158" i="4"/>
  <c r="F165" i="4"/>
  <c r="F31" i="4"/>
  <c r="F19" i="4"/>
  <c r="F66" i="4"/>
  <c r="F166" i="4"/>
  <c r="F75" i="4"/>
  <c r="D163" i="4"/>
  <c r="D151" i="4"/>
  <c r="D144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D131" i="4"/>
  <c r="D124" i="4"/>
  <c r="D118" i="4"/>
  <c r="P147" i="4" l="1"/>
  <c r="P146" i="4"/>
  <c r="P40" i="4"/>
  <c r="P164" i="4"/>
  <c r="P120" i="4"/>
  <c r="N120" i="4"/>
  <c r="N146" i="4"/>
  <c r="N147" i="4"/>
  <c r="I164" i="4"/>
  <c r="O164" i="4"/>
  <c r="N40" i="4"/>
  <c r="I147" i="4"/>
  <c r="N164" i="4"/>
  <c r="F147" i="4"/>
  <c r="F164" i="4"/>
  <c r="K110" i="4"/>
  <c r="H110" i="4"/>
  <c r="O146" i="4"/>
  <c r="K147" i="4"/>
  <c r="N110" i="4"/>
  <c r="N114" i="4"/>
  <c r="O110" i="4"/>
  <c r="O80" i="4"/>
  <c r="O81" i="4" s="1"/>
  <c r="K23" i="4"/>
  <c r="M110" i="4"/>
  <c r="P91" i="4"/>
  <c r="M106" i="4"/>
  <c r="P114" i="4"/>
  <c r="P110" i="4"/>
  <c r="P115" i="4"/>
  <c r="O120" i="4"/>
  <c r="O23" i="4"/>
  <c r="O44" i="4" s="1"/>
  <c r="O147" i="4"/>
  <c r="J23" i="4"/>
  <c r="J25" i="4" s="1"/>
  <c r="I40" i="4"/>
  <c r="J146" i="4"/>
  <c r="J147" i="4"/>
  <c r="I23" i="4"/>
  <c r="I44" i="4" s="1"/>
  <c r="I120" i="4"/>
  <c r="N100" i="4"/>
  <c r="N91" i="4"/>
  <c r="P168" i="4"/>
  <c r="P109" i="4"/>
  <c r="P113" i="4"/>
  <c r="P112" i="4"/>
  <c r="P108" i="4"/>
  <c r="P101" i="4"/>
  <c r="P98" i="4"/>
  <c r="P95" i="4"/>
  <c r="P90" i="4"/>
  <c r="P87" i="4"/>
  <c r="P96" i="4"/>
  <c r="P81" i="4"/>
  <c r="P97" i="4"/>
  <c r="P94" i="4"/>
  <c r="P89" i="4"/>
  <c r="P99" i="4"/>
  <c r="P88" i="4"/>
  <c r="P105" i="4"/>
  <c r="K120" i="4"/>
  <c r="M97" i="4"/>
  <c r="M113" i="4"/>
  <c r="M109" i="4"/>
  <c r="M105" i="4"/>
  <c r="M96" i="4"/>
  <c r="M88" i="4"/>
  <c r="M81" i="4"/>
  <c r="M112" i="4"/>
  <c r="M108" i="4"/>
  <c r="M101" i="4"/>
  <c r="M98" i="4"/>
  <c r="M95" i="4"/>
  <c r="M90" i="4"/>
  <c r="M87" i="4"/>
  <c r="M89" i="4"/>
  <c r="M94" i="4"/>
  <c r="M99" i="4"/>
  <c r="P100" i="4"/>
  <c r="M115" i="4"/>
  <c r="K146" i="4"/>
  <c r="O109" i="4"/>
  <c r="M91" i="4"/>
  <c r="N109" i="4"/>
  <c r="O114" i="4"/>
  <c r="O91" i="4"/>
  <c r="M114" i="4"/>
  <c r="J120" i="4"/>
  <c r="K40" i="4"/>
  <c r="M100" i="4"/>
  <c r="O106" i="4"/>
  <c r="N113" i="4"/>
  <c r="N105" i="4"/>
  <c r="N96" i="4"/>
  <c r="N88" i="4"/>
  <c r="N81" i="4"/>
  <c r="N168" i="4"/>
  <c r="N112" i="4"/>
  <c r="N108" i="4"/>
  <c r="N101" i="4"/>
  <c r="N98" i="4"/>
  <c r="N95" i="4"/>
  <c r="N90" i="4"/>
  <c r="N87" i="4"/>
  <c r="N97" i="4"/>
  <c r="N94" i="4"/>
  <c r="N89" i="4"/>
  <c r="O113" i="4"/>
  <c r="O105" i="4"/>
  <c r="O96" i="4"/>
  <c r="O88" i="4"/>
  <c r="O168" i="4"/>
  <c r="O112" i="4"/>
  <c r="O108" i="4"/>
  <c r="O101" i="4"/>
  <c r="O98" i="4"/>
  <c r="O95" i="4"/>
  <c r="O90" i="4"/>
  <c r="O87" i="4"/>
  <c r="O97" i="4"/>
  <c r="O94" i="4"/>
  <c r="O89" i="4"/>
  <c r="N115" i="4"/>
  <c r="H91" i="4"/>
  <c r="N44" i="4"/>
  <c r="N25" i="4"/>
  <c r="N99" i="4"/>
  <c r="N106" i="4"/>
  <c r="P44" i="4"/>
  <c r="P25" i="4"/>
  <c r="O100" i="4"/>
  <c r="O99" i="4"/>
  <c r="I113" i="4"/>
  <c r="I109" i="4"/>
  <c r="I99" i="4"/>
  <c r="I81" i="4"/>
  <c r="I105" i="4"/>
  <c r="I96" i="4"/>
  <c r="I88" i="4"/>
  <c r="I168" i="4"/>
  <c r="I112" i="4"/>
  <c r="I108" i="4"/>
  <c r="I101" i="4"/>
  <c r="I98" i="4"/>
  <c r="I95" i="4"/>
  <c r="I90" i="4"/>
  <c r="I87" i="4"/>
  <c r="I97" i="4"/>
  <c r="I94" i="4"/>
  <c r="I89" i="4"/>
  <c r="I100" i="4"/>
  <c r="K44" i="4"/>
  <c r="K25" i="4"/>
  <c r="K168" i="4"/>
  <c r="K112" i="4"/>
  <c r="K108" i="4"/>
  <c r="K101" i="4"/>
  <c r="K98" i="4"/>
  <c r="K95" i="4"/>
  <c r="K90" i="4"/>
  <c r="K87" i="4"/>
  <c r="K89" i="4"/>
  <c r="K96" i="4"/>
  <c r="K97" i="4"/>
  <c r="K94" i="4"/>
  <c r="K113" i="4"/>
  <c r="K99" i="4"/>
  <c r="K105" i="4"/>
  <c r="K88" i="4"/>
  <c r="K109" i="4"/>
  <c r="K81" i="4"/>
  <c r="H106" i="4"/>
  <c r="K100" i="4"/>
  <c r="K114" i="4"/>
  <c r="I91" i="4"/>
  <c r="H99" i="4"/>
  <c r="K115" i="4"/>
  <c r="H113" i="4"/>
  <c r="H105" i="4"/>
  <c r="H96" i="4"/>
  <c r="H88" i="4"/>
  <c r="H81" i="4"/>
  <c r="H112" i="4"/>
  <c r="H108" i="4"/>
  <c r="H101" i="4"/>
  <c r="H98" i="4"/>
  <c r="H95" i="4"/>
  <c r="H90" i="4"/>
  <c r="H87" i="4"/>
  <c r="H97" i="4"/>
  <c r="H94" i="4"/>
  <c r="H89" i="4"/>
  <c r="I114" i="4"/>
  <c r="H114" i="4"/>
  <c r="K106" i="4"/>
  <c r="H115" i="4"/>
  <c r="I115" i="4"/>
  <c r="J66" i="4"/>
  <c r="H100" i="4"/>
  <c r="I110" i="4"/>
  <c r="H109" i="4"/>
  <c r="K91" i="4"/>
  <c r="F146" i="4"/>
  <c r="F23" i="4"/>
  <c r="F25" i="4" s="1"/>
  <c r="F40" i="4"/>
  <c r="F120" i="4"/>
  <c r="F100" i="4"/>
  <c r="F106" i="4"/>
  <c r="F91" i="4"/>
  <c r="F80" i="4"/>
  <c r="F110" i="4"/>
  <c r="F89" i="4"/>
  <c r="F95" i="4"/>
  <c r="F99" i="4"/>
  <c r="F112" i="4"/>
  <c r="F90" i="4"/>
  <c r="F96" i="4"/>
  <c r="F108" i="4"/>
  <c r="F113" i="4"/>
  <c r="F94" i="4"/>
  <c r="F105" i="4"/>
  <c r="F87" i="4"/>
  <c r="F97" i="4"/>
  <c r="F101" i="4"/>
  <c r="F109" i="4"/>
  <c r="F114" i="4"/>
  <c r="F98" i="4"/>
  <c r="F168" i="4"/>
  <c r="F88" i="4"/>
  <c r="D28" i="4"/>
  <c r="E7" i="4"/>
  <c r="O115" i="4" l="1"/>
  <c r="O25" i="4"/>
  <c r="J44" i="4"/>
  <c r="I25" i="4"/>
  <c r="N148" i="4"/>
  <c r="N126" i="4"/>
  <c r="N46" i="4"/>
  <c r="P148" i="4"/>
  <c r="P126" i="4"/>
  <c r="P46" i="4"/>
  <c r="J100" i="4"/>
  <c r="J148" i="4"/>
  <c r="J126" i="4"/>
  <c r="J46" i="4"/>
  <c r="J113" i="4"/>
  <c r="J105" i="4"/>
  <c r="J96" i="4"/>
  <c r="J88" i="4"/>
  <c r="J81" i="4"/>
  <c r="J168" i="4"/>
  <c r="J112" i="4"/>
  <c r="J108" i="4"/>
  <c r="J101" i="4"/>
  <c r="J98" i="4"/>
  <c r="J95" i="4"/>
  <c r="J90" i="4"/>
  <c r="J87" i="4"/>
  <c r="J97" i="4"/>
  <c r="J94" i="4"/>
  <c r="J89" i="4"/>
  <c r="J99" i="4"/>
  <c r="J106" i="4"/>
  <c r="J91" i="4"/>
  <c r="J110" i="4"/>
  <c r="J109" i="4"/>
  <c r="J114" i="4"/>
  <c r="K148" i="4"/>
  <c r="K126" i="4"/>
  <c r="K46" i="4"/>
  <c r="J115" i="4"/>
  <c r="F44" i="4"/>
  <c r="F81" i="4"/>
  <c r="E49" i="4"/>
  <c r="F7" i="4"/>
  <c r="F126" i="4"/>
  <c r="F46" i="4"/>
  <c r="F148" i="4"/>
  <c r="F115" i="4"/>
  <c r="E124" i="4"/>
  <c r="E151" i="4"/>
  <c r="E144" i="4"/>
  <c r="E118" i="4"/>
  <c r="E163" i="4"/>
  <c r="E131" i="4"/>
  <c r="E28" i="4"/>
  <c r="E45" i="4"/>
  <c r="D45" i="4"/>
  <c r="E42" i="4"/>
  <c r="D42" i="4"/>
  <c r="E41" i="4"/>
  <c r="D41" i="4"/>
  <c r="E38" i="4"/>
  <c r="D38" i="4"/>
  <c r="E37" i="4"/>
  <c r="D37" i="4"/>
  <c r="E36" i="4"/>
  <c r="D36" i="4"/>
  <c r="E34" i="4"/>
  <c r="D34" i="4"/>
  <c r="E33" i="4"/>
  <c r="D33" i="4"/>
  <c r="E32" i="4"/>
  <c r="D32" i="4"/>
  <c r="E30" i="4"/>
  <c r="D30" i="4"/>
  <c r="E29" i="4"/>
  <c r="D29" i="4"/>
  <c r="I46" i="4" l="1"/>
  <c r="O148" i="4"/>
  <c r="O126" i="4"/>
  <c r="O46" i="4"/>
  <c r="I126" i="4"/>
  <c r="I148" i="4"/>
  <c r="F49" i="4"/>
  <c r="F118" i="4"/>
  <c r="F163" i="4"/>
  <c r="F124" i="4"/>
  <c r="F144" i="4"/>
  <c r="F151" i="4"/>
  <c r="F131" i="4"/>
  <c r="F28" i="4"/>
  <c r="F84" i="4" l="1"/>
  <c r="D43" i="4" l="1"/>
  <c r="E43" i="4"/>
  <c r="D166" i="4" l="1"/>
  <c r="E166" i="4" l="1"/>
  <c r="D165" i="4" l="1"/>
  <c r="E165" i="4" l="1"/>
  <c r="C84" i="4"/>
  <c r="D39" i="4"/>
  <c r="D167" i="4" l="1"/>
  <c r="E167" i="4"/>
  <c r="D35" i="4"/>
  <c r="E35" i="4"/>
  <c r="E39" i="4"/>
  <c r="D145" i="4"/>
  <c r="E145" i="4" l="1"/>
  <c r="D164" i="4"/>
  <c r="D31" i="4"/>
  <c r="E164" i="4"/>
  <c r="E31" i="4"/>
  <c r="E147" i="4" l="1"/>
  <c r="E120" i="4"/>
  <c r="D147" i="4"/>
  <c r="D120" i="4"/>
  <c r="E146" i="4"/>
  <c r="D146" i="4"/>
  <c r="E40" i="4"/>
  <c r="D40" i="4"/>
  <c r="E44" i="4" l="1"/>
  <c r="D44" i="4"/>
  <c r="E126" i="4" l="1"/>
  <c r="E148" i="4"/>
  <c r="D126" i="4"/>
  <c r="D148" i="4"/>
  <c r="E46" i="4"/>
  <c r="D46" i="4"/>
  <c r="D49" i="4" l="1"/>
  <c r="D84" i="4" l="1"/>
  <c r="E84" i="4" l="1"/>
  <c r="D168" i="4" l="1"/>
  <c r="D81" i="4"/>
  <c r="C100" i="4"/>
  <c r="C81" i="4"/>
  <c r="D100" i="4"/>
  <c r="D112" i="4"/>
  <c r="D101" i="4"/>
  <c r="D97" i="4"/>
  <c r="D95" i="4"/>
  <c r="D89" i="4"/>
  <c r="D87" i="4"/>
  <c r="D113" i="4"/>
  <c r="D108" i="4"/>
  <c r="D105" i="4"/>
  <c r="D98" i="4"/>
  <c r="D96" i="4"/>
  <c r="D94" i="4"/>
  <c r="D90" i="4"/>
  <c r="D88" i="4"/>
  <c r="D99" i="4"/>
  <c r="D106" i="4"/>
  <c r="D91" i="4"/>
  <c r="D114" i="4"/>
  <c r="D109" i="4"/>
  <c r="D110" i="4"/>
  <c r="D115" i="4"/>
  <c r="C95" i="4"/>
  <c r="C101" i="4"/>
  <c r="C89" i="4"/>
  <c r="C87" i="4"/>
  <c r="C97" i="4"/>
  <c r="C112" i="4"/>
  <c r="C113" i="4"/>
  <c r="C108" i="4"/>
  <c r="C105" i="4"/>
  <c r="C98" i="4"/>
  <c r="C96" i="4"/>
  <c r="C94" i="4"/>
  <c r="C90" i="4"/>
  <c r="C88" i="4"/>
  <c r="C99" i="4"/>
  <c r="C106" i="4"/>
  <c r="C91" i="4"/>
  <c r="C109" i="4"/>
  <c r="C114" i="4"/>
  <c r="C110" i="4"/>
  <c r="C115" i="4"/>
  <c r="E168" i="4" l="1"/>
  <c r="E100" i="4"/>
  <c r="E81" i="4"/>
  <c r="E112" i="4"/>
  <c r="E101" i="4"/>
  <c r="E97" i="4"/>
  <c r="E95" i="4"/>
  <c r="E89" i="4"/>
  <c r="E87" i="4"/>
  <c r="E113" i="4"/>
  <c r="E108" i="4"/>
  <c r="E105" i="4"/>
  <c r="E98" i="4"/>
  <c r="E96" i="4"/>
  <c r="E94" i="4"/>
  <c r="E90" i="4"/>
  <c r="E88" i="4"/>
  <c r="E99" i="4"/>
  <c r="E106" i="4"/>
  <c r="E91" i="4"/>
  <c r="E114" i="4"/>
  <c r="E109" i="4"/>
  <c r="E110" i="4"/>
  <c r="E115" i="4"/>
</calcChain>
</file>

<file path=xl/sharedStrings.xml><?xml version="1.0" encoding="utf-8"?>
<sst xmlns="http://schemas.openxmlformats.org/spreadsheetml/2006/main" count="271" uniqueCount="142">
  <si>
    <t>Net Revenue</t>
  </si>
  <si>
    <t>Gross Profit</t>
  </si>
  <si>
    <t>Assets</t>
  </si>
  <si>
    <t>Cash</t>
  </si>
  <si>
    <t>Land</t>
  </si>
  <si>
    <t/>
  </si>
  <si>
    <t>Balance Sheet</t>
  </si>
  <si>
    <t>Current assets:</t>
  </si>
  <si>
    <t>Total Liabilities</t>
  </si>
  <si>
    <t>Noncurrent Liabilities:</t>
  </si>
  <si>
    <t>Total Noncurrent Liabilities</t>
  </si>
  <si>
    <t>Liabilities:</t>
  </si>
  <si>
    <t>Total Assets</t>
  </si>
  <si>
    <t>Total Noncurrent Assets</t>
  </si>
  <si>
    <t>Gross Margin</t>
  </si>
  <si>
    <t>Notes</t>
  </si>
  <si>
    <t>Inventory Turnover</t>
  </si>
  <si>
    <t>Return on Assets (ROA)</t>
  </si>
  <si>
    <t>Total Asset Turnover (TAT)</t>
  </si>
  <si>
    <t>Return on Equity (ROE)</t>
  </si>
  <si>
    <t>Leverage</t>
  </si>
  <si>
    <t>Profit Margin</t>
  </si>
  <si>
    <t>Analysis of Return on Assets (ROA)</t>
  </si>
  <si>
    <t>Operating Income Margin</t>
  </si>
  <si>
    <t>Net Income Margin</t>
  </si>
  <si>
    <t>Income Statement</t>
  </si>
  <si>
    <t>Operating Profit Margin After Tax</t>
  </si>
  <si>
    <t>Accounts Receivable Turnover</t>
  </si>
  <si>
    <t>Analysis of Return on Equity (ROE)</t>
  </si>
  <si>
    <t>Cost of Goods Sold</t>
  </si>
  <si>
    <t>Days Sales Outstanding (DSO)</t>
  </si>
  <si>
    <t>Days Inventory Outstanding (DIO)</t>
  </si>
  <si>
    <t>Advertising Expense</t>
  </si>
  <si>
    <t>Selling Expense</t>
  </si>
  <si>
    <t>Distribution Center Operating Expense</t>
  </si>
  <si>
    <t>Total Selling Expense</t>
  </si>
  <si>
    <t>Research and Development Expense</t>
  </si>
  <si>
    <t>Distribution Center Depreciation Expense</t>
  </si>
  <si>
    <t>Idle Factory Expense</t>
  </si>
  <si>
    <t>Operating Income</t>
  </si>
  <si>
    <t>Other Operating Expense</t>
  </si>
  <si>
    <t>Interest Revenue</t>
  </si>
  <si>
    <t>Net Income Before Tax</t>
  </si>
  <si>
    <t>Income Tax Expense</t>
  </si>
  <si>
    <t>Net Income</t>
  </si>
  <si>
    <t>Accounts Receivable</t>
  </si>
  <si>
    <t>Tax Benefit</t>
  </si>
  <si>
    <t>Total Current Assets</t>
  </si>
  <si>
    <t>Liabilities and Shareholders' Equity</t>
  </si>
  <si>
    <t>Current Liabilities:</t>
  </si>
  <si>
    <t>Total Current Liabilities</t>
  </si>
  <si>
    <t>Shareholders' Equity:</t>
  </si>
  <si>
    <t>Contributed Capital</t>
  </si>
  <si>
    <t>Retained Earnings</t>
  </si>
  <si>
    <t>Total Shareholders' Equity</t>
  </si>
  <si>
    <t>Total Liabilities and Shareholders' Equity</t>
  </si>
  <si>
    <t>Income Tax Rate</t>
  </si>
  <si>
    <t>Liquidity and Solvency Ratios</t>
  </si>
  <si>
    <t>After-Tax Operating Income Margin</t>
  </si>
  <si>
    <t>Interest Coverage Ratio</t>
  </si>
  <si>
    <t>Current Ratio</t>
  </si>
  <si>
    <t>Quick Ratio</t>
  </si>
  <si>
    <t>Debt-to-Equity Ratio</t>
  </si>
  <si>
    <t>Debt-to-Assets Ratio</t>
  </si>
  <si>
    <t>Net Interest Revenue (Expense)</t>
  </si>
  <si>
    <t>Factories</t>
  </si>
  <si>
    <t>Accumulated Depreciation on Factories</t>
  </si>
  <si>
    <t>Accumulated Depreciation on DCs</t>
  </si>
  <si>
    <t>Distribution Centers (DCs)</t>
  </si>
  <si>
    <t>Days Payables Outstanding (DPO)</t>
  </si>
  <si>
    <t>Payables Turnover</t>
  </si>
  <si>
    <t>Inventory</t>
  </si>
  <si>
    <t>Expense Ratios as a % of Net Revenue</t>
  </si>
  <si>
    <t>Interest Expense</t>
  </si>
  <si>
    <t>Check that balance sheet balances</t>
  </si>
  <si>
    <t>Cash Conversion Cycle (CCC)</t>
  </si>
  <si>
    <t>= DSO + DIO - DPO</t>
  </si>
  <si>
    <t>Profit Margins</t>
  </si>
  <si>
    <t>Working Capital and Profitability Ratios</t>
  </si>
  <si>
    <t>Property, Plant, and Equipment (PPE):</t>
  </si>
  <si>
    <t>Fixed Asset Turnover</t>
  </si>
  <si>
    <t>Common Size Income Statement</t>
  </si>
  <si>
    <t>Debt (includes emergency loan for simplicity)</t>
  </si>
  <si>
    <t>Payables (accounts payable, raw materials payable, and other payables)</t>
  </si>
  <si>
    <t>Common Size Balance Sheet</t>
  </si>
  <si>
    <t>= Net revenue / average assets</t>
  </si>
  <si>
    <t>= Net income / average equity</t>
  </si>
  <si>
    <t>= Net income / net revenue</t>
  </si>
  <si>
    <t>= Average assets / average equity</t>
  </si>
  <si>
    <t>= Cost of goods sold / net revenue</t>
  </si>
  <si>
    <t>= Advertising expense / net revenue</t>
  </si>
  <si>
    <t>= Selling expense / net revenue</t>
  </si>
  <si>
    <t>= Distribution center operating expense / net revenue</t>
  </si>
  <si>
    <t>= Research and development expense / net revenue</t>
  </si>
  <si>
    <t>= Distribution center depreciation expense / net revenue</t>
  </si>
  <si>
    <t>= Idle factory expense / net revenue</t>
  </si>
  <si>
    <t>= Interest revenue / net revenue</t>
  </si>
  <si>
    <t>= Interest expense on long-term debt / net revenue</t>
  </si>
  <si>
    <t>= Income tax expense / net revenue</t>
  </si>
  <si>
    <t>= Gross profit / net revenue</t>
  </si>
  <si>
    <t>= Operating income / net revenue</t>
  </si>
  <si>
    <t>= Operating income * (1 - tax rate) / net revenue</t>
  </si>
  <si>
    <t>= Net revenue / average accounts receivable</t>
  </si>
  <si>
    <t>= Cost of goods sold / average inventory</t>
  </si>
  <si>
    <t>= Average inventory / daily cost of goods sold, where daily cost of goods sold = cost of goods sold / 364</t>
  </si>
  <si>
    <t>= Net revenue / average property, plant, and equipment</t>
  </si>
  <si>
    <t>= Operating income / net interest expense</t>
  </si>
  <si>
    <t>= Current assets / current liabilities</t>
  </si>
  <si>
    <t>= (Cash + accounts receivable) / current liabilities</t>
  </si>
  <si>
    <t>= Interest-bearing debt / equity</t>
  </si>
  <si>
    <t>= Interest-bearing debt / assets</t>
  </si>
  <si>
    <t>Gleacher Game Financial Statement Analysis Template</t>
  </si>
  <si>
    <t>Noncurrent Assets:</t>
  </si>
  <si>
    <t>= Operating income * (1 - tax rate) / average assets</t>
  </si>
  <si>
    <t>Assumptions</t>
  </si>
  <si>
    <t>Net PPE</t>
  </si>
  <si>
    <t>= Average accounts receivable / daily sales, where daily sales = net revenue / 364</t>
  </si>
  <si>
    <t>= (Change in inventory + expenses related to payables) / average payables, where expenses are cost of goods sold less factory depreciation, total selling expense, research and development expense, idle factory expense represented by positive values</t>
  </si>
  <si>
    <t>= Average payables / (daily change in inventory + daily expenses related to payables), where daily expense = expense / 364</t>
  </si>
  <si>
    <t>Days per Year</t>
  </si>
  <si>
    <t>Instructions for Downloading Financial Statements</t>
  </si>
  <si>
    <t>Instructions for the Financial Statement Analysis Template</t>
  </si>
  <si>
    <t>Your Team (please fill in name)</t>
  </si>
  <si>
    <t>Competitor 1 (please fill in name)</t>
  </si>
  <si>
    <t>Competitor 2 (please fill in name)</t>
  </si>
  <si>
    <t>a) Input revenues and gains as positive values.</t>
  </si>
  <si>
    <t>b) Input expenses and losses as negative values.</t>
  </si>
  <si>
    <t>c) Combine items that have been grouped in the template.</t>
  </si>
  <si>
    <t>d) Skip items that are not present in your downloaded statements.</t>
  </si>
  <si>
    <r>
      <rPr>
        <u/>
        <sz val="10"/>
        <color theme="1"/>
        <rFont val="Calibri"/>
        <family val="2"/>
        <scheme val="minor"/>
      </rPr>
      <t>Notes:</t>
    </r>
    <r>
      <rPr>
        <sz val="10"/>
        <color theme="1"/>
        <rFont val="Calibri"/>
        <family val="2"/>
        <scheme val="minor"/>
      </rPr>
      <t xml:space="preserve"> Enter inputs only in yellow cells. </t>
    </r>
  </si>
  <si>
    <t>Go to the financial statements report in the game.</t>
  </si>
  <si>
    <t>Click on the pen to the right of "Quarter" above the statement, and change the selection to "Year".</t>
  </si>
  <si>
    <t>Click the download arrow at the top right of the window to download your income statement.</t>
  </si>
  <si>
    <t>Switch to your balance sheet, select the starting and ending year, and download the statement.</t>
  </si>
  <si>
    <t>Use the teams dropdown at the top of the window to select the other teams and download their statements.</t>
  </si>
  <si>
    <t>Inputs for income statement and balance sheet items are in the yellow ranges on the Financial Statement Analysis tab.</t>
  </si>
  <si>
    <t>Enter income statement and balance sheet figures.</t>
  </si>
  <si>
    <t>Sanity check the numbers and make sure that the the balance sheet balances.</t>
  </si>
  <si>
    <t>Next to "Year", enter the first and last year for the income statement in ascending order.</t>
  </si>
  <si>
    <t>Review and analyze the calculated ratios.</t>
  </si>
  <si>
    <t>Enter revenues as positive (+) values.</t>
  </si>
  <si>
    <t>Enter expenses as negative (-)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</si>
</sst>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3" formatCode="_(* #,##0.00_);_(* \(#,##0.00\);_(* &quot;-&quot;??_);_(@_)"/>
    <numFmt numFmtId="164" formatCode="0.0%"/>
    <numFmt numFmtId="165" formatCode="&quot;Year&quot;\ 0"/>
    <numFmt numFmtId="166" formatCode="_(* #,##0.0_);_(* \(#,##0.0\);_(* &quot;-&quot;??_);_(@_)"/>
    <numFmt numFmtId="167" formatCode="0.0\x"/>
    <numFmt numFmtId="168" formatCode="&quot;Year&quot;\ 0\ &quot;(A)&quot;"/>
    <numFmt numFmtId="169" formatCode="0\)"/>
  </numFmts>
  <fonts count="18" x14ac:knownFonts="1"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Century Gothic"/>
      <family val="2"/>
    </font>
    <font>
      <u/>
      <sz val="10"/>
      <color theme="11"/>
      <name val="Century Gothic"/>
      <family val="2"/>
    </font>
    <font>
      <sz val="10"/>
      <color theme="1"/>
      <name val="Century Gothic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0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" fillId="0" borderId="0"/>
  </cellStyleXfs>
  <cellXfs count="106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165" fontId="9" fillId="2" borderId="0" xfId="0" applyNumberFormat="1" applyFont="1" applyFill="1" applyAlignment="1">
      <alignment horizontal="left" wrapText="1"/>
    </xf>
    <xf numFmtId="0" fontId="6" fillId="0" borderId="6" xfId="0" applyFont="1" applyBorder="1" applyAlignment="1">
      <alignment horizontal="left" vertical="center" indent="1"/>
    </xf>
    <xf numFmtId="168" fontId="9" fillId="2" borderId="0" xfId="0" applyNumberFormat="1" applyFont="1" applyFill="1" applyAlignment="1">
      <alignment horizontal="right"/>
    </xf>
    <xf numFmtId="164" fontId="10" fillId="0" borderId="7" xfId="17" applyNumberFormat="1" applyFont="1" applyBorder="1" applyAlignment="1">
      <alignment vertical="center"/>
    </xf>
    <xf numFmtId="166" fontId="6" fillId="5" borderId="7" xfId="16" applyNumberFormat="1" applyFont="1" applyFill="1" applyBorder="1" applyAlignment="1">
      <alignment vertical="center"/>
    </xf>
    <xf numFmtId="5" fontId="6" fillId="0" borderId="0" xfId="0" applyNumberFormat="1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5" fontId="7" fillId="0" borderId="9" xfId="0" applyNumberFormat="1" applyFont="1" applyBorder="1" applyAlignment="1">
      <alignment vertical="center"/>
    </xf>
    <xf numFmtId="5" fontId="6" fillId="0" borderId="0" xfId="0" applyNumberFormat="1" applyFont="1" applyAlignment="1">
      <alignment vertical="center"/>
    </xf>
    <xf numFmtId="5" fontId="7" fillId="4" borderId="5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2"/>
    </xf>
    <xf numFmtId="5" fontId="6" fillId="0" borderId="2" xfId="0" applyNumberFormat="1" applyFont="1" applyBorder="1" applyAlignment="1">
      <alignment vertical="center"/>
    </xf>
    <xf numFmtId="0" fontId="7" fillId="3" borderId="4" xfId="0" applyFont="1" applyFill="1" applyBorder="1" applyAlignment="1">
      <alignment horizontal="left" vertical="center" indent="1"/>
    </xf>
    <xf numFmtId="5" fontId="7" fillId="3" borderId="5" xfId="0" applyNumberFormat="1" applyFont="1" applyFill="1" applyBorder="1" applyAlignment="1">
      <alignment vertical="center"/>
    </xf>
    <xf numFmtId="5" fontId="6" fillId="0" borderId="9" xfId="0" applyNumberFormat="1" applyFont="1" applyBorder="1" applyAlignment="1">
      <alignment vertical="center"/>
    </xf>
    <xf numFmtId="5" fontId="6" fillId="0" borderId="7" xfId="0" applyNumberFormat="1" applyFont="1" applyBorder="1" applyAlignment="1">
      <alignment vertical="center"/>
    </xf>
    <xf numFmtId="0" fontId="8" fillId="0" borderId="0" xfId="0" applyFont="1" applyAlignment="1">
      <alignment horizontal="center"/>
    </xf>
    <xf numFmtId="5" fontId="8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indent="3"/>
    </xf>
    <xf numFmtId="5" fontId="7" fillId="5" borderId="2" xfId="0" applyNumberFormat="1" applyFont="1" applyFill="1" applyBorder="1" applyAlignment="1" applyProtection="1">
      <alignment vertical="center"/>
      <protection locked="0"/>
    </xf>
    <xf numFmtId="5" fontId="6" fillId="0" borderId="2" xfId="0" applyNumberFormat="1" applyFont="1" applyBorder="1" applyAlignment="1" applyProtection="1">
      <alignment vertical="center"/>
      <protection locked="0"/>
    </xf>
    <xf numFmtId="5" fontId="7" fillId="4" borderId="0" xfId="0" applyNumberFormat="1" applyFont="1" applyFill="1" applyAlignment="1">
      <alignment vertical="center"/>
    </xf>
    <xf numFmtId="5" fontId="8" fillId="0" borderId="0" xfId="0" applyNumberFormat="1" applyFont="1"/>
    <xf numFmtId="0" fontId="6" fillId="2" borderId="0" xfId="0" applyFont="1" applyFill="1"/>
    <xf numFmtId="0" fontId="6" fillId="4" borderId="4" xfId="0" applyFont="1" applyFill="1" applyBorder="1" applyAlignment="1">
      <alignment horizontal="left" vertical="center" indent="1"/>
    </xf>
    <xf numFmtId="164" fontId="6" fillId="0" borderId="7" xfId="17" applyNumberFormat="1" applyFont="1" applyBorder="1" applyAlignment="1">
      <alignment vertical="center"/>
    </xf>
    <xf numFmtId="167" fontId="6" fillId="5" borderId="7" xfId="17" applyNumberFormat="1" applyFont="1" applyFill="1" applyBorder="1" applyAlignment="1">
      <alignment vertical="center"/>
    </xf>
    <xf numFmtId="167" fontId="6" fillId="5" borderId="7" xfId="17" applyNumberFormat="1" applyFont="1" applyFill="1" applyBorder="1" applyAlignment="1">
      <alignment horizontal="right" vertical="center"/>
    </xf>
    <xf numFmtId="164" fontId="6" fillId="4" borderId="5" xfId="17" applyNumberFormat="1" applyFont="1" applyFill="1" applyBorder="1" applyAlignment="1">
      <alignment vertical="center"/>
    </xf>
    <xf numFmtId="167" fontId="6" fillId="0" borderId="7" xfId="17" applyNumberFormat="1" applyFont="1" applyBorder="1" applyAlignment="1">
      <alignment vertical="center"/>
    </xf>
    <xf numFmtId="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0" fillId="0" borderId="0" xfId="0" quotePrefix="1" applyFont="1" applyAlignment="1">
      <alignment vertical="center"/>
    </xf>
    <xf numFmtId="0" fontId="14" fillId="0" borderId="0" xfId="0" applyFont="1"/>
    <xf numFmtId="0" fontId="10" fillId="0" borderId="0" xfId="0" applyFont="1"/>
    <xf numFmtId="0" fontId="13" fillId="0" borderId="0" xfId="0" applyFont="1"/>
    <xf numFmtId="165" fontId="13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6" fillId="0" borderId="1" xfId="0" applyFont="1" applyBorder="1" applyAlignment="1">
      <alignment horizontal="left" vertical="center" indent="4"/>
    </xf>
    <xf numFmtId="0" fontId="7" fillId="0" borderId="8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2"/>
    </xf>
    <xf numFmtId="0" fontId="7" fillId="4" borderId="4" xfId="0" applyFont="1" applyFill="1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 indent="2"/>
    </xf>
    <xf numFmtId="0" fontId="6" fillId="0" borderId="8" xfId="0" applyFont="1" applyBorder="1" applyAlignment="1">
      <alignment horizontal="left" vertical="center" indent="3"/>
    </xf>
    <xf numFmtId="0" fontId="6" fillId="0" borderId="6" xfId="0" applyFont="1" applyBorder="1" applyAlignment="1">
      <alignment horizontal="left" vertical="center" indent="3"/>
    </xf>
    <xf numFmtId="0" fontId="7" fillId="0" borderId="1" xfId="0" applyFont="1" applyBorder="1" applyAlignment="1">
      <alignment horizontal="left" vertical="center" indent="3"/>
    </xf>
    <xf numFmtId="0" fontId="7" fillId="4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indent="1"/>
    </xf>
    <xf numFmtId="9" fontId="10" fillId="0" borderId="2" xfId="17" applyFont="1" applyBorder="1" applyAlignment="1">
      <alignment horizontal="right" vertical="center"/>
    </xf>
    <xf numFmtId="164" fontId="7" fillId="0" borderId="9" xfId="17" applyNumberFormat="1" applyFont="1" applyBorder="1" applyAlignment="1">
      <alignment horizontal="right" vertical="center"/>
    </xf>
    <xf numFmtId="164" fontId="6" fillId="0" borderId="0" xfId="17" applyNumberFormat="1" applyFont="1" applyAlignment="1">
      <alignment horizontal="right" vertical="center"/>
    </xf>
    <xf numFmtId="164" fontId="7" fillId="4" borderId="5" xfId="17" applyNumberFormat="1" applyFont="1" applyFill="1" applyBorder="1" applyAlignment="1">
      <alignment horizontal="right" vertical="center"/>
    </xf>
    <xf numFmtId="164" fontId="6" fillId="0" borderId="2" xfId="17" applyNumberFormat="1" applyFont="1" applyBorder="1" applyAlignment="1">
      <alignment horizontal="right" vertical="center"/>
    </xf>
    <xf numFmtId="164" fontId="7" fillId="3" borderId="5" xfId="17" applyNumberFormat="1" applyFont="1" applyFill="1" applyBorder="1" applyAlignment="1">
      <alignment horizontal="right" vertical="center"/>
    </xf>
    <xf numFmtId="164" fontId="6" fillId="0" borderId="9" xfId="17" applyNumberFormat="1" applyFont="1" applyBorder="1" applyAlignment="1">
      <alignment horizontal="right" vertical="center"/>
    </xf>
    <xf numFmtId="164" fontId="6" fillId="0" borderId="10" xfId="17" applyNumberFormat="1" applyFont="1" applyBorder="1" applyAlignment="1">
      <alignment horizontal="right" vertical="center"/>
    </xf>
    <xf numFmtId="10" fontId="10" fillId="0" borderId="2" xfId="17" applyNumberFormat="1" applyFont="1" applyBorder="1" applyAlignment="1">
      <alignment horizontal="right" vertical="center"/>
    </xf>
    <xf numFmtId="9" fontId="10" fillId="0" borderId="0" xfId="17" applyFont="1" applyAlignment="1">
      <alignment horizontal="right" vertical="center"/>
    </xf>
    <xf numFmtId="10" fontId="10" fillId="0" borderId="2" xfId="17" applyNumberFormat="1" applyFont="1" applyBorder="1" applyAlignment="1" applyProtection="1">
      <alignment horizontal="right" vertical="center"/>
      <protection locked="0"/>
    </xf>
    <xf numFmtId="10" fontId="13" fillId="3" borderId="5" xfId="17" applyNumberFormat="1" applyFont="1" applyFill="1" applyBorder="1" applyAlignment="1">
      <alignment horizontal="right" vertical="center"/>
    </xf>
    <xf numFmtId="10" fontId="13" fillId="0" borderId="2" xfId="17" applyNumberFormat="1" applyFont="1" applyBorder="1" applyAlignment="1">
      <alignment horizontal="right" vertical="center"/>
    </xf>
    <xf numFmtId="10" fontId="13" fillId="4" borderId="5" xfId="17" applyNumberFormat="1" applyFont="1" applyFill="1" applyBorder="1" applyAlignment="1">
      <alignment horizontal="right" vertical="center"/>
    </xf>
    <xf numFmtId="10" fontId="10" fillId="5" borderId="2" xfId="17" applyNumberFormat="1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>
      <alignment horizontal="left" vertical="center" wrapText="1" indent="3"/>
    </xf>
    <xf numFmtId="165" fontId="13" fillId="0" borderId="0" xfId="0" applyNumberFormat="1" applyFont="1" applyAlignment="1">
      <alignment horizontal="left"/>
    </xf>
    <xf numFmtId="5" fontId="12" fillId="6" borderId="9" xfId="0" applyNumberFormat="1" applyFont="1" applyFill="1" applyBorder="1" applyAlignment="1" applyProtection="1">
      <alignment vertical="center"/>
      <protection locked="0"/>
    </xf>
    <xf numFmtId="5" fontId="11" fillId="6" borderId="0" xfId="0" applyNumberFormat="1" applyFont="1" applyFill="1" applyAlignment="1" applyProtection="1">
      <alignment vertical="center"/>
      <protection locked="0"/>
    </xf>
    <xf numFmtId="5" fontId="11" fillId="6" borderId="2" xfId="0" applyNumberFormat="1" applyFont="1" applyFill="1" applyBorder="1" applyAlignment="1" applyProtection="1">
      <alignment vertical="center"/>
      <protection locked="0"/>
    </xf>
    <xf numFmtId="5" fontId="11" fillId="6" borderId="9" xfId="0" applyNumberFormat="1" applyFont="1" applyFill="1" applyBorder="1" applyAlignment="1" applyProtection="1">
      <alignment vertical="center"/>
      <protection locked="0"/>
    </xf>
    <xf numFmtId="5" fontId="11" fillId="6" borderId="7" xfId="0" applyNumberFormat="1" applyFont="1" applyFill="1" applyBorder="1" applyAlignment="1" applyProtection="1">
      <alignment vertical="center"/>
      <protection locked="0"/>
    </xf>
    <xf numFmtId="0" fontId="6" fillId="0" borderId="0" xfId="0" quotePrefix="1" applyFont="1"/>
    <xf numFmtId="0" fontId="6" fillId="0" borderId="3" xfId="0" applyFont="1" applyBorder="1"/>
    <xf numFmtId="164" fontId="6" fillId="0" borderId="0" xfId="17" applyNumberFormat="1" applyFont="1" applyBorder="1" applyAlignment="1">
      <alignment horizontal="right" vertical="center"/>
    </xf>
    <xf numFmtId="9" fontId="10" fillId="0" borderId="0" xfId="17" applyFont="1" applyBorder="1" applyAlignment="1">
      <alignment horizontal="right" vertical="center"/>
    </xf>
    <xf numFmtId="0" fontId="6" fillId="4" borderId="5" xfId="0" applyFont="1" applyFill="1" applyBorder="1" applyAlignment="1">
      <alignment horizontal="left" vertical="center" indent="1"/>
    </xf>
    <xf numFmtId="0" fontId="6" fillId="0" borderId="7" xfId="0" applyFont="1" applyBorder="1" applyAlignment="1">
      <alignment horizontal="left" vertical="center" indent="1"/>
    </xf>
    <xf numFmtId="165" fontId="9" fillId="2" borderId="0" xfId="0" applyNumberFormat="1" applyFont="1" applyFill="1" applyAlignment="1">
      <alignment horizontal="right"/>
    </xf>
    <xf numFmtId="0" fontId="6" fillId="3" borderId="1" xfId="0" applyFont="1" applyFill="1" applyBorder="1" applyAlignment="1">
      <alignment horizontal="left" vertical="center" indent="1"/>
    </xf>
    <xf numFmtId="164" fontId="10" fillId="3" borderId="11" xfId="17" applyNumberFormat="1" applyFont="1" applyFill="1" applyBorder="1" applyAlignment="1" applyProtection="1">
      <alignment horizontal="right" vertical="center"/>
      <protection locked="0"/>
    </xf>
    <xf numFmtId="0" fontId="6" fillId="3" borderId="12" xfId="0" applyFont="1" applyFill="1" applyBorder="1" applyAlignment="1">
      <alignment horizontal="left" vertical="center" indent="1"/>
    </xf>
    <xf numFmtId="1" fontId="10" fillId="3" borderId="13" xfId="17" applyNumberFormat="1" applyFont="1" applyFill="1" applyBorder="1" applyAlignment="1" applyProtection="1">
      <alignment horizontal="right" vertical="center"/>
      <protection locked="0"/>
    </xf>
    <xf numFmtId="0" fontId="6" fillId="0" borderId="0" xfId="18" applyFont="1"/>
    <xf numFmtId="0" fontId="7" fillId="0" borderId="0" xfId="19" applyFont="1"/>
    <xf numFmtId="0" fontId="6" fillId="0" borderId="0" xfId="19" applyFont="1"/>
    <xf numFmtId="0" fontId="6" fillId="0" borderId="14" xfId="0" applyFont="1" applyBorder="1"/>
    <xf numFmtId="0" fontId="6" fillId="0" borderId="0" xfId="19" applyFont="1" applyAlignment="1">
      <alignment horizontal="left" indent="1"/>
    </xf>
    <xf numFmtId="0" fontId="6" fillId="0" borderId="0" xfId="0" applyFont="1" applyAlignment="1">
      <alignment horizontal="left" vertical="center" wrapText="1" indent="2"/>
    </xf>
    <xf numFmtId="169" fontId="6" fillId="0" borderId="0" xfId="18" applyNumberFormat="1" applyFont="1"/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</cellXfs>
  <cellStyles count="20">
    <cellStyle name="Comma" xfId="16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  <cellStyle name="Normal 2" xfId="1" xr:uid="{00000000-0005-0000-0000-000010000000}"/>
    <cellStyle name="Normal 2 2" xfId="18" xr:uid="{7AF4DBEC-61EF-4F9A-BB3E-7079A0F68A07}"/>
    <cellStyle name="Normal 3" xfId="19" xr:uid="{CCB78588-1CEF-4883-A6FF-895B65041EE3}"/>
    <cellStyle name="Percent" xfId="17" builtinId="5"/>
  </cellStyles>
  <dxfs count="0"/>
  <tableStyles count="0" defaultTableStyle="TableStyleMedium2" defaultPivotStyle="PivotStyleLight16"/>
  <colors>
    <mruColors>
      <color rgb="FF0000FF"/>
      <color rgb="FFE6EB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42ED-106C-4148-8E24-C7143257AD27}">
  <dimension ref="B1:F18"/>
  <sheetViews>
    <sheetView showGridLines="0" zoomScaleNormal="100" workbookViewId="0"/>
  </sheetViews>
  <sheetFormatPr baseColWidth="10" defaultColWidth="10.83203125" defaultRowHeight="14" x14ac:dyDescent="0.2"/>
  <cols>
    <col min="1" max="1" width="0.1640625" style="96" customWidth="1"/>
    <col min="2" max="2" width="2.33203125" style="96" customWidth="1"/>
    <col min="3" max="5" width="12.83203125" style="96" bestFit="1" customWidth="1"/>
    <col min="6" max="16384" width="10.83203125" style="96"/>
  </cols>
  <sheetData>
    <row r="1" spans="2:6" ht="16.5" customHeight="1" x14ac:dyDescent="0.2">
      <c r="B1" s="97" t="s">
        <v>120</v>
      </c>
      <c r="D1" s="98"/>
      <c r="E1" s="98"/>
      <c r="F1" s="98"/>
    </row>
    <row r="2" spans="2:6" ht="16.5" customHeight="1" x14ac:dyDescent="0.2">
      <c r="B2" s="102">
        <v>1</v>
      </c>
      <c r="C2" s="98" t="s">
        <v>130</v>
      </c>
      <c r="D2" s="98"/>
      <c r="E2" s="98"/>
      <c r="F2" s="98"/>
    </row>
    <row r="3" spans="2:6" ht="16.5" customHeight="1" x14ac:dyDescent="0.2">
      <c r="B3" s="102">
        <v>2</v>
      </c>
      <c r="C3" s="98" t="s">
        <v>131</v>
      </c>
      <c r="D3" s="98"/>
      <c r="E3" s="98"/>
      <c r="F3" s="98"/>
    </row>
    <row r="4" spans="2:6" ht="16.5" customHeight="1" x14ac:dyDescent="0.2">
      <c r="B4" s="102">
        <v>3</v>
      </c>
      <c r="C4" s="98" t="s">
        <v>138</v>
      </c>
      <c r="D4" s="98"/>
      <c r="E4" s="98"/>
      <c r="F4" s="98"/>
    </row>
    <row r="5" spans="2:6" ht="16.5" customHeight="1" x14ac:dyDescent="0.2">
      <c r="B5" s="102">
        <v>4</v>
      </c>
      <c r="C5" s="98" t="s">
        <v>132</v>
      </c>
      <c r="D5" s="98"/>
      <c r="E5" s="98"/>
      <c r="F5" s="98"/>
    </row>
    <row r="6" spans="2:6" ht="16.5" customHeight="1" x14ac:dyDescent="0.2">
      <c r="B6" s="102">
        <v>5</v>
      </c>
      <c r="C6" s="98" t="s">
        <v>133</v>
      </c>
      <c r="D6" s="98"/>
      <c r="E6" s="98"/>
      <c r="F6" s="98"/>
    </row>
    <row r="7" spans="2:6" ht="16.5" customHeight="1" x14ac:dyDescent="0.2">
      <c r="B7" s="102">
        <v>6</v>
      </c>
      <c r="C7" s="98" t="s">
        <v>134</v>
      </c>
      <c r="D7" s="98"/>
      <c r="E7" s="98"/>
      <c r="F7" s="98"/>
    </row>
    <row r="8" spans="2:6" ht="16.5" customHeight="1" x14ac:dyDescent="0.2">
      <c r="C8" s="98"/>
      <c r="D8" s="98"/>
      <c r="E8" s="98"/>
      <c r="F8" s="98"/>
    </row>
    <row r="9" spans="2:6" ht="16.5" customHeight="1" x14ac:dyDescent="0.2">
      <c r="B9" s="97" t="s">
        <v>121</v>
      </c>
      <c r="D9" s="98"/>
      <c r="E9" s="98"/>
      <c r="F9" s="98"/>
    </row>
    <row r="10" spans="2:6" ht="16.5" customHeight="1" x14ac:dyDescent="0.2">
      <c r="B10" s="102">
        <v>1</v>
      </c>
      <c r="C10" s="98" t="s">
        <v>135</v>
      </c>
      <c r="D10" s="98"/>
      <c r="E10" s="98"/>
      <c r="F10" s="98"/>
    </row>
    <row r="11" spans="2:6" ht="16.5" customHeight="1" x14ac:dyDescent="0.2">
      <c r="B11" s="102">
        <v>2</v>
      </c>
      <c r="C11" s="98" t="s">
        <v>136</v>
      </c>
      <c r="D11" s="98"/>
      <c r="E11" s="98"/>
      <c r="F11" s="98"/>
    </row>
    <row r="12" spans="2:6" ht="16.5" customHeight="1" x14ac:dyDescent="0.2">
      <c r="B12" s="102"/>
      <c r="C12" s="100" t="s">
        <v>125</v>
      </c>
      <c r="D12" s="98"/>
      <c r="E12" s="98"/>
      <c r="F12" s="98"/>
    </row>
    <row r="13" spans="2:6" ht="16.5" customHeight="1" x14ac:dyDescent="0.2">
      <c r="B13" s="102"/>
      <c r="C13" s="100" t="s">
        <v>126</v>
      </c>
      <c r="D13" s="98"/>
      <c r="E13" s="98"/>
      <c r="F13" s="98"/>
    </row>
    <row r="14" spans="2:6" ht="16.5" customHeight="1" x14ac:dyDescent="0.2">
      <c r="B14" s="102"/>
      <c r="C14" s="100" t="s">
        <v>127</v>
      </c>
      <c r="D14" s="98"/>
      <c r="E14" s="98"/>
      <c r="F14" s="98"/>
    </row>
    <row r="15" spans="2:6" ht="16.5" customHeight="1" x14ac:dyDescent="0.2">
      <c r="B15" s="102"/>
      <c r="C15" s="100" t="s">
        <v>128</v>
      </c>
      <c r="D15" s="98"/>
      <c r="E15" s="98"/>
      <c r="F15" s="98"/>
    </row>
    <row r="16" spans="2:6" ht="16.5" customHeight="1" x14ac:dyDescent="0.2">
      <c r="B16" s="102">
        <v>3</v>
      </c>
      <c r="C16" s="98" t="s">
        <v>137</v>
      </c>
      <c r="D16" s="98"/>
      <c r="E16" s="98"/>
      <c r="F16" s="98"/>
    </row>
    <row r="17" spans="2:6" ht="16.5" customHeight="1" x14ac:dyDescent="0.2">
      <c r="B17" s="102">
        <v>4</v>
      </c>
      <c r="C17" s="98" t="s">
        <v>139</v>
      </c>
      <c r="D17" s="98"/>
      <c r="E17" s="98"/>
      <c r="F17" s="98"/>
    </row>
    <row r="18" spans="2:6" x14ac:dyDescent="0.2">
      <c r="C18" s="98"/>
      <c r="D18" s="98"/>
      <c r="E18" s="9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7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C6" sqref="C6"/>
    </sheetView>
  </sheetViews>
  <sheetFormatPr baseColWidth="10" defaultColWidth="8.83203125" defaultRowHeight="14" x14ac:dyDescent="0.2"/>
  <cols>
    <col min="1" max="1" width="0.83203125" style="1" customWidth="1"/>
    <col min="2" max="2" width="44.33203125" style="1" customWidth="1"/>
    <col min="3" max="6" width="11.6640625" style="1" customWidth="1"/>
    <col min="7" max="7" width="0.83203125" style="1" customWidth="1"/>
    <col min="8" max="11" width="11.6640625" style="1" customWidth="1"/>
    <col min="12" max="12" width="0.83203125" style="1" customWidth="1"/>
    <col min="13" max="16" width="11.6640625" style="1" customWidth="1"/>
    <col min="17" max="17" width="0.83203125" style="1" customWidth="1"/>
    <col min="18" max="18" width="2.5" style="45" customWidth="1"/>
    <col min="19" max="20" width="8.33203125" style="45" customWidth="1"/>
    <col min="21" max="21" width="8.33203125" style="1" customWidth="1"/>
    <col min="22" max="24" width="8.33203125" style="1" bestFit="1" customWidth="1"/>
    <col min="25" max="25" width="3.1640625" style="1" customWidth="1"/>
    <col min="26" max="16384" width="8.83203125" style="1"/>
  </cols>
  <sheetData>
    <row r="1" spans="2:23" ht="19" x14ac:dyDescent="0.25">
      <c r="B1" s="52" t="s">
        <v>111</v>
      </c>
      <c r="R1" s="44"/>
      <c r="S1" s="4" t="s">
        <v>114</v>
      </c>
      <c r="T1" s="25"/>
    </row>
    <row r="2" spans="2:23" x14ac:dyDescent="0.2">
      <c r="B2" s="1" t="s">
        <v>129</v>
      </c>
      <c r="C2" s="3"/>
      <c r="D2" s="3"/>
      <c r="E2" s="3"/>
      <c r="F2" s="3"/>
      <c r="H2" s="3"/>
      <c r="I2" s="3"/>
      <c r="J2" s="3"/>
      <c r="K2" s="3"/>
      <c r="M2" s="3"/>
      <c r="N2" s="3"/>
      <c r="O2" s="3"/>
      <c r="P2" s="3"/>
      <c r="R2" s="46"/>
      <c r="S2" s="92" t="s">
        <v>56</v>
      </c>
      <c r="T2" s="92"/>
      <c r="U2" s="93">
        <v>0.35</v>
      </c>
    </row>
    <row r="3" spans="2:23" ht="13" customHeight="1" x14ac:dyDescent="0.2">
      <c r="B3" s="101" t="s">
        <v>140</v>
      </c>
      <c r="D3" s="3"/>
      <c r="E3" s="3"/>
      <c r="F3" s="3"/>
      <c r="H3" s="3"/>
      <c r="I3" s="3"/>
      <c r="J3" s="3"/>
      <c r="K3" s="3"/>
      <c r="M3" s="3"/>
      <c r="N3" s="3"/>
      <c r="O3" s="3"/>
      <c r="P3" s="3"/>
      <c r="R3" s="46"/>
      <c r="S3" s="94" t="s">
        <v>119</v>
      </c>
      <c r="T3" s="94"/>
      <c r="U3" s="95">
        <v>364</v>
      </c>
    </row>
    <row r="4" spans="2:23" ht="15" x14ac:dyDescent="0.2">
      <c r="B4" s="101" t="s">
        <v>141</v>
      </c>
      <c r="D4" s="3"/>
      <c r="E4" s="3"/>
      <c r="F4" s="3"/>
      <c r="H4" s="3"/>
      <c r="I4" s="3"/>
      <c r="J4" s="3"/>
      <c r="K4" s="3"/>
      <c r="M4" s="3"/>
      <c r="N4" s="3"/>
      <c r="O4" s="3"/>
      <c r="P4" s="3"/>
      <c r="R4" s="46"/>
      <c r="S4" s="1"/>
      <c r="T4" s="1"/>
    </row>
    <row r="5" spans="2:23" s="25" customFormat="1" ht="15" customHeight="1" x14ac:dyDescent="0.15">
      <c r="C5" s="103" t="s">
        <v>122</v>
      </c>
      <c r="D5" s="104"/>
      <c r="E5" s="104"/>
      <c r="F5" s="105"/>
      <c r="G5" s="41"/>
      <c r="H5" s="103" t="s">
        <v>123</v>
      </c>
      <c r="I5" s="104"/>
      <c r="J5" s="104"/>
      <c r="K5" s="105"/>
      <c r="L5" s="41"/>
      <c r="M5" s="103" t="s">
        <v>124</v>
      </c>
      <c r="N5" s="104"/>
      <c r="O5" s="104"/>
      <c r="P5" s="105"/>
      <c r="Q5" s="41"/>
      <c r="R5" s="41"/>
      <c r="V5" s="41"/>
      <c r="W5" s="41"/>
    </row>
    <row r="6" spans="2:23" x14ac:dyDescent="0.2">
      <c r="B6" s="12" t="s">
        <v>25</v>
      </c>
      <c r="C6" s="10"/>
      <c r="D6" s="10"/>
      <c r="E6" s="10"/>
      <c r="F6" s="10"/>
      <c r="H6" s="10"/>
      <c r="I6" s="10"/>
      <c r="J6" s="10"/>
      <c r="K6" s="10"/>
      <c r="M6" s="10"/>
      <c r="N6" s="10"/>
      <c r="O6" s="10"/>
      <c r="P6" s="10"/>
      <c r="R6" s="48"/>
      <c r="S6" s="1"/>
      <c r="T6" s="1"/>
    </row>
    <row r="7" spans="2:23" x14ac:dyDescent="0.2">
      <c r="B7" s="5"/>
      <c r="C7" s="7"/>
      <c r="D7" s="91">
        <v>1</v>
      </c>
      <c r="E7" s="91">
        <f>D7+1</f>
        <v>2</v>
      </c>
      <c r="F7" s="91">
        <f>E7+1</f>
        <v>3</v>
      </c>
      <c r="G7" s="99"/>
      <c r="H7" s="7"/>
      <c r="I7" s="91">
        <v>1</v>
      </c>
      <c r="J7" s="91">
        <f>I7+1</f>
        <v>2</v>
      </c>
      <c r="K7" s="91">
        <f>J7+1</f>
        <v>3</v>
      </c>
      <c r="L7" s="99"/>
      <c r="M7" s="7"/>
      <c r="N7" s="91">
        <v>1</v>
      </c>
      <c r="O7" s="91">
        <f>N7+1</f>
        <v>2</v>
      </c>
      <c r="P7" s="91">
        <f>O7+1</f>
        <v>3</v>
      </c>
      <c r="Q7" s="86"/>
      <c r="R7" s="47"/>
      <c r="S7" s="1"/>
      <c r="T7" s="1"/>
    </row>
    <row r="8" spans="2:23" ht="15" customHeight="1" x14ac:dyDescent="0.2">
      <c r="B8" s="54" t="s">
        <v>0</v>
      </c>
      <c r="C8" s="13"/>
      <c r="D8" s="80"/>
      <c r="E8" s="80"/>
      <c r="F8" s="80"/>
      <c r="G8" s="99"/>
      <c r="H8" s="13"/>
      <c r="I8" s="80"/>
      <c r="J8" s="80"/>
      <c r="K8" s="80"/>
      <c r="L8" s="99"/>
      <c r="M8" s="13"/>
      <c r="N8" s="80"/>
      <c r="O8" s="80"/>
      <c r="P8" s="80"/>
      <c r="Q8" s="86"/>
      <c r="R8" s="42"/>
    </row>
    <row r="9" spans="2:23" ht="15" customHeight="1" x14ac:dyDescent="0.2">
      <c r="B9" s="55" t="s">
        <v>29</v>
      </c>
      <c r="C9" s="14"/>
      <c r="D9" s="81"/>
      <c r="E9" s="81"/>
      <c r="F9" s="81"/>
      <c r="G9" s="99"/>
      <c r="H9" s="14"/>
      <c r="I9" s="81"/>
      <c r="J9" s="81"/>
      <c r="K9" s="81"/>
      <c r="L9" s="99"/>
      <c r="M9" s="14"/>
      <c r="N9" s="81"/>
      <c r="O9" s="81"/>
      <c r="P9" s="81"/>
      <c r="Q9" s="86"/>
      <c r="R9" s="40"/>
    </row>
    <row r="10" spans="2:23" ht="15" customHeight="1" x14ac:dyDescent="0.2">
      <c r="B10" s="56" t="s">
        <v>1</v>
      </c>
      <c r="C10" s="15"/>
      <c r="D10" s="15">
        <f>SUM(D8,D9)</f>
        <v>0</v>
      </c>
      <c r="E10" s="15">
        <f t="shared" ref="E10" si="0">SUM(E8,E9)</f>
        <v>0</v>
      </c>
      <c r="F10" s="15">
        <f t="shared" ref="F10" si="1">SUM(F8,F9)</f>
        <v>0</v>
      </c>
      <c r="G10" s="99"/>
      <c r="H10" s="15"/>
      <c r="I10" s="15">
        <f>SUM(I8,I9)</f>
        <v>0</v>
      </c>
      <c r="J10" s="15">
        <f t="shared" ref="J10:K10" si="2">SUM(J8,J9)</f>
        <v>0</v>
      </c>
      <c r="K10" s="15">
        <f t="shared" si="2"/>
        <v>0</v>
      </c>
      <c r="L10" s="99"/>
      <c r="M10" s="15"/>
      <c r="N10" s="15">
        <f>SUM(N8,N9)</f>
        <v>0</v>
      </c>
      <c r="O10" s="15">
        <f t="shared" ref="O10:P10" si="3">SUM(O8,O9)</f>
        <v>0</v>
      </c>
      <c r="P10" s="15">
        <f t="shared" si="3"/>
        <v>0</v>
      </c>
      <c r="Q10" s="86"/>
      <c r="R10" s="42"/>
    </row>
    <row r="11" spans="2:23" ht="15" customHeight="1" x14ac:dyDescent="0.2">
      <c r="B11" s="28" t="s">
        <v>32</v>
      </c>
      <c r="C11" s="17"/>
      <c r="D11" s="82"/>
      <c r="E11" s="82"/>
      <c r="F11" s="82"/>
      <c r="G11" s="99"/>
      <c r="H11" s="17"/>
      <c r="I11" s="82"/>
      <c r="J11" s="82"/>
      <c r="K11" s="82"/>
      <c r="L11" s="99"/>
      <c r="M11" s="17"/>
      <c r="N11" s="82"/>
      <c r="O11" s="82"/>
      <c r="P11" s="82"/>
      <c r="Q11" s="86"/>
      <c r="R11" s="41"/>
    </row>
    <row r="12" spans="2:23" ht="15" customHeight="1" x14ac:dyDescent="0.2">
      <c r="B12" s="28" t="s">
        <v>33</v>
      </c>
      <c r="C12" s="17"/>
      <c r="D12" s="82"/>
      <c r="E12" s="82"/>
      <c r="F12" s="82"/>
      <c r="G12" s="99"/>
      <c r="H12" s="17"/>
      <c r="I12" s="82"/>
      <c r="J12" s="82"/>
      <c r="K12" s="82"/>
      <c r="L12" s="99"/>
      <c r="M12" s="17"/>
      <c r="N12" s="82"/>
      <c r="O12" s="82"/>
      <c r="P12" s="82"/>
      <c r="Q12" s="86"/>
      <c r="R12" s="41"/>
    </row>
    <row r="13" spans="2:23" ht="15" customHeight="1" x14ac:dyDescent="0.2">
      <c r="B13" s="28" t="s">
        <v>34</v>
      </c>
      <c r="C13" s="17"/>
      <c r="D13" s="82"/>
      <c r="E13" s="82"/>
      <c r="F13" s="82"/>
      <c r="G13" s="99"/>
      <c r="H13" s="17"/>
      <c r="I13" s="82"/>
      <c r="J13" s="82"/>
      <c r="K13" s="82"/>
      <c r="L13" s="99"/>
      <c r="M13" s="17"/>
      <c r="N13" s="82"/>
      <c r="O13" s="82"/>
      <c r="P13" s="82"/>
      <c r="Q13" s="86"/>
      <c r="R13" s="41"/>
    </row>
    <row r="14" spans="2:23" ht="15" customHeight="1" x14ac:dyDescent="0.2">
      <c r="B14" s="57" t="s">
        <v>35</v>
      </c>
      <c r="C14" s="19"/>
      <c r="D14" s="19">
        <f>SUM(D11:D13)</f>
        <v>0</v>
      </c>
      <c r="E14" s="19">
        <f t="shared" ref="E14" si="4">SUM(E11:E13)</f>
        <v>0</v>
      </c>
      <c r="F14" s="19">
        <f t="shared" ref="F14" si="5">SUM(F11:F13)</f>
        <v>0</v>
      </c>
      <c r="G14" s="99"/>
      <c r="H14" s="19"/>
      <c r="I14" s="19">
        <f>SUM(I11:I13)</f>
        <v>0</v>
      </c>
      <c r="J14" s="19">
        <f t="shared" ref="J14:K14" si="6">SUM(J11:J13)</f>
        <v>0</v>
      </c>
      <c r="K14" s="19">
        <f t="shared" si="6"/>
        <v>0</v>
      </c>
      <c r="L14" s="99"/>
      <c r="M14" s="19"/>
      <c r="N14" s="19">
        <f>SUM(N11:N13)</f>
        <v>0</v>
      </c>
      <c r="O14" s="19">
        <f t="shared" ref="O14:P14" si="7">SUM(O11:O13)</f>
        <v>0</v>
      </c>
      <c r="P14" s="19">
        <f t="shared" si="7"/>
        <v>0</v>
      </c>
      <c r="Q14" s="86"/>
      <c r="R14" s="42"/>
    </row>
    <row r="15" spans="2:23" ht="15" customHeight="1" x14ac:dyDescent="0.2">
      <c r="B15" s="28" t="s">
        <v>36</v>
      </c>
      <c r="C15" s="17"/>
      <c r="D15" s="82"/>
      <c r="E15" s="82"/>
      <c r="F15" s="82"/>
      <c r="G15" s="99"/>
      <c r="H15" s="17"/>
      <c r="I15" s="82"/>
      <c r="J15" s="82"/>
      <c r="K15" s="82"/>
      <c r="L15" s="99"/>
      <c r="M15" s="17"/>
      <c r="N15" s="82"/>
      <c r="O15" s="82"/>
      <c r="P15" s="82"/>
      <c r="Q15" s="86"/>
      <c r="R15" s="41"/>
    </row>
    <row r="16" spans="2:23" ht="15" customHeight="1" x14ac:dyDescent="0.2">
      <c r="B16" s="28" t="s">
        <v>37</v>
      </c>
      <c r="C16" s="17"/>
      <c r="D16" s="82"/>
      <c r="E16" s="82"/>
      <c r="F16" s="82"/>
      <c r="G16" s="99"/>
      <c r="H16" s="17"/>
      <c r="I16" s="82"/>
      <c r="J16" s="82"/>
      <c r="K16" s="82"/>
      <c r="L16" s="99"/>
      <c r="M16" s="17"/>
      <c r="N16" s="82"/>
      <c r="O16" s="82"/>
      <c r="P16" s="82"/>
      <c r="Q16" s="86"/>
      <c r="R16" s="41"/>
    </row>
    <row r="17" spans="1:20" ht="15" customHeight="1" x14ac:dyDescent="0.2">
      <c r="B17" s="28" t="s">
        <v>38</v>
      </c>
      <c r="C17" s="17"/>
      <c r="D17" s="82"/>
      <c r="E17" s="82"/>
      <c r="F17" s="82"/>
      <c r="G17" s="99"/>
      <c r="H17" s="17"/>
      <c r="I17" s="82"/>
      <c r="J17" s="82"/>
      <c r="K17" s="82"/>
      <c r="L17" s="99"/>
      <c r="M17" s="17"/>
      <c r="N17" s="82"/>
      <c r="O17" s="82"/>
      <c r="P17" s="82"/>
      <c r="Q17" s="86"/>
      <c r="R17" s="41"/>
    </row>
    <row r="18" spans="1:20" ht="15" customHeight="1" x14ac:dyDescent="0.2">
      <c r="B18" s="57" t="s">
        <v>40</v>
      </c>
      <c r="C18" s="19"/>
      <c r="D18" s="19">
        <f>SUM(D15:D17)</f>
        <v>0</v>
      </c>
      <c r="E18" s="19">
        <f t="shared" ref="E18" si="8">SUM(E15:E17)</f>
        <v>0</v>
      </c>
      <c r="F18" s="19">
        <f t="shared" ref="F18" si="9">SUM(F15:F17)</f>
        <v>0</v>
      </c>
      <c r="G18" s="99"/>
      <c r="H18" s="19"/>
      <c r="I18" s="19">
        <f>SUM(I15:I17)</f>
        <v>0</v>
      </c>
      <c r="J18" s="19">
        <f t="shared" ref="J18:K18" si="10">SUM(J15:J17)</f>
        <v>0</v>
      </c>
      <c r="K18" s="19">
        <f t="shared" si="10"/>
        <v>0</v>
      </c>
      <c r="L18" s="99"/>
      <c r="M18" s="19"/>
      <c r="N18" s="19">
        <f>SUM(N15:N17)</f>
        <v>0</v>
      </c>
      <c r="O18" s="19">
        <f t="shared" ref="O18:P18" si="11">SUM(O15:O17)</f>
        <v>0</v>
      </c>
      <c r="P18" s="19">
        <f t="shared" si="11"/>
        <v>0</v>
      </c>
      <c r="Q18" s="86"/>
      <c r="R18" s="42"/>
    </row>
    <row r="19" spans="1:20" ht="15" customHeight="1" x14ac:dyDescent="0.2">
      <c r="B19" s="56" t="s">
        <v>39</v>
      </c>
      <c r="C19" s="15"/>
      <c r="D19" s="15">
        <f>SUM(D10,D14,D18)</f>
        <v>0</v>
      </c>
      <c r="E19" s="15">
        <f t="shared" ref="E19" si="12">SUM(E10,E14,E18)</f>
        <v>0</v>
      </c>
      <c r="F19" s="15">
        <f t="shared" ref="F19" si="13">SUM(F10,F14,F18)</f>
        <v>0</v>
      </c>
      <c r="G19" s="99"/>
      <c r="H19" s="15"/>
      <c r="I19" s="15">
        <f>SUM(I10,I14,I18)</f>
        <v>0</v>
      </c>
      <c r="J19" s="15">
        <f t="shared" ref="J19:K19" si="14">SUM(J10,J14,J18)</f>
        <v>0</v>
      </c>
      <c r="K19" s="15">
        <f t="shared" si="14"/>
        <v>0</v>
      </c>
      <c r="L19" s="99"/>
      <c r="M19" s="15"/>
      <c r="N19" s="15">
        <f>SUM(N10,N14,N18)</f>
        <v>0</v>
      </c>
      <c r="O19" s="15">
        <f t="shared" ref="O19:P19" si="15">SUM(O10,O14,O18)</f>
        <v>0</v>
      </c>
      <c r="P19" s="15">
        <f t="shared" si="15"/>
        <v>0</v>
      </c>
      <c r="Q19" s="86"/>
      <c r="R19" s="42"/>
    </row>
    <row r="20" spans="1:20" ht="15" customHeight="1" x14ac:dyDescent="0.2">
      <c r="B20" s="58" t="s">
        <v>41</v>
      </c>
      <c r="C20" s="20"/>
      <c r="D20" s="83"/>
      <c r="E20" s="83"/>
      <c r="F20" s="83"/>
      <c r="G20" s="99"/>
      <c r="H20" s="20"/>
      <c r="I20" s="83"/>
      <c r="J20" s="83"/>
      <c r="K20" s="83"/>
      <c r="L20" s="99"/>
      <c r="M20" s="20"/>
      <c r="N20" s="83"/>
      <c r="O20" s="83"/>
      <c r="P20" s="83"/>
      <c r="Q20" s="86"/>
      <c r="R20" s="43"/>
    </row>
    <row r="21" spans="1:20" ht="15" customHeight="1" x14ac:dyDescent="0.2">
      <c r="B21" s="59" t="s">
        <v>73</v>
      </c>
      <c r="C21" s="21"/>
      <c r="D21" s="84"/>
      <c r="E21" s="84"/>
      <c r="F21" s="84"/>
      <c r="G21" s="99"/>
      <c r="H21" s="21"/>
      <c r="I21" s="84"/>
      <c r="J21" s="84"/>
      <c r="K21" s="84"/>
      <c r="L21" s="99"/>
      <c r="M21" s="21"/>
      <c r="N21" s="84"/>
      <c r="O21" s="84"/>
      <c r="P21" s="84"/>
      <c r="Q21" s="86"/>
      <c r="R21" s="41"/>
    </row>
    <row r="22" spans="1:20" ht="15" customHeight="1" x14ac:dyDescent="0.2">
      <c r="B22" s="57" t="s">
        <v>64</v>
      </c>
      <c r="C22" s="19"/>
      <c r="D22" s="19">
        <f>SUM(D20,D21)</f>
        <v>0</v>
      </c>
      <c r="E22" s="19">
        <f t="shared" ref="E22" si="16">SUM(E20,E21)</f>
        <v>0</v>
      </c>
      <c r="F22" s="19">
        <f t="shared" ref="F22" si="17">SUM(F20,F21)</f>
        <v>0</v>
      </c>
      <c r="G22" s="99"/>
      <c r="H22" s="19"/>
      <c r="I22" s="19">
        <f>SUM(I20,I21)</f>
        <v>0</v>
      </c>
      <c r="J22" s="19">
        <f t="shared" ref="J22:K22" si="18">SUM(J20,J21)</f>
        <v>0</v>
      </c>
      <c r="K22" s="19">
        <f t="shared" si="18"/>
        <v>0</v>
      </c>
      <c r="L22" s="99"/>
      <c r="M22" s="19"/>
      <c r="N22" s="19">
        <f>SUM(N20,N21)</f>
        <v>0</v>
      </c>
      <c r="O22" s="19">
        <f t="shared" ref="O22:P22" si="19">SUM(O20,O21)</f>
        <v>0</v>
      </c>
      <c r="P22" s="19">
        <f t="shared" si="19"/>
        <v>0</v>
      </c>
      <c r="Q22" s="86"/>
      <c r="R22" s="42"/>
    </row>
    <row r="23" spans="1:20" ht="15" customHeight="1" x14ac:dyDescent="0.2">
      <c r="B23" s="56" t="s">
        <v>42</v>
      </c>
      <c r="C23" s="15"/>
      <c r="D23" s="15">
        <f>SUM(D19,D22)</f>
        <v>0</v>
      </c>
      <c r="E23" s="15">
        <f>SUM(E19,E22)</f>
        <v>0</v>
      </c>
      <c r="F23" s="15">
        <f>SUM(F19,F22)</f>
        <v>0</v>
      </c>
      <c r="G23" s="99"/>
      <c r="H23" s="15"/>
      <c r="I23" s="15">
        <f>SUM(I19,I22)</f>
        <v>0</v>
      </c>
      <c r="J23" s="15">
        <f>SUM(J19,J22)</f>
        <v>0</v>
      </c>
      <c r="K23" s="15">
        <f>SUM(K19,K22)</f>
        <v>0</v>
      </c>
      <c r="L23" s="99"/>
      <c r="M23" s="15"/>
      <c r="N23" s="15">
        <f>SUM(N19,N22)</f>
        <v>0</v>
      </c>
      <c r="O23" s="15">
        <f>SUM(O19,O22)</f>
        <v>0</v>
      </c>
      <c r="P23" s="15">
        <f>SUM(P19,P22)</f>
        <v>0</v>
      </c>
      <c r="Q23" s="86"/>
      <c r="R23" s="42"/>
    </row>
    <row r="24" spans="1:20" ht="15" customHeight="1" x14ac:dyDescent="0.2">
      <c r="B24" s="55" t="s">
        <v>43</v>
      </c>
      <c r="C24" s="14"/>
      <c r="D24" s="81"/>
      <c r="E24" s="81"/>
      <c r="F24" s="81"/>
      <c r="G24" s="99"/>
      <c r="H24" s="14"/>
      <c r="I24" s="81"/>
      <c r="J24" s="81"/>
      <c r="K24" s="81"/>
      <c r="L24" s="99"/>
      <c r="M24" s="14"/>
      <c r="N24" s="81"/>
      <c r="O24" s="81"/>
      <c r="P24" s="81"/>
      <c r="Q24" s="86"/>
      <c r="R24" s="41"/>
    </row>
    <row r="25" spans="1:20" ht="15" customHeight="1" x14ac:dyDescent="0.2">
      <c r="B25" s="56" t="s">
        <v>44</v>
      </c>
      <c r="C25" s="15"/>
      <c r="D25" s="15">
        <f>SUM(D23,D24)</f>
        <v>0</v>
      </c>
      <c r="E25" s="15">
        <f t="shared" ref="E25" si="20">SUM(E23,E24)</f>
        <v>0</v>
      </c>
      <c r="F25" s="15">
        <f t="shared" ref="F25" si="21">SUM(F23,F24)</f>
        <v>0</v>
      </c>
      <c r="G25" s="99"/>
      <c r="H25" s="15"/>
      <c r="I25" s="15">
        <f>SUM(I23,I24)</f>
        <v>0</v>
      </c>
      <c r="J25" s="15">
        <f t="shared" ref="J25:K25" si="22">SUM(J23,J24)</f>
        <v>0</v>
      </c>
      <c r="K25" s="15">
        <f t="shared" si="22"/>
        <v>0</v>
      </c>
      <c r="L25" s="99"/>
      <c r="M25" s="15"/>
      <c r="N25" s="15">
        <f>SUM(N23,N24)</f>
        <v>0</v>
      </c>
      <c r="O25" s="15">
        <f t="shared" ref="O25:P25" si="23">SUM(O23,O24)</f>
        <v>0</v>
      </c>
      <c r="P25" s="15">
        <f t="shared" si="23"/>
        <v>0</v>
      </c>
      <c r="Q25" s="86"/>
      <c r="R25" s="49"/>
    </row>
    <row r="26" spans="1:20" ht="15" customHeight="1" x14ac:dyDescent="0.2">
      <c r="A26" s="10"/>
      <c r="B26" s="10"/>
      <c r="C26" s="10"/>
      <c r="D26" s="10"/>
      <c r="E26" s="10"/>
      <c r="F26" s="10"/>
      <c r="H26" s="10"/>
      <c r="I26" s="10"/>
      <c r="J26" s="10"/>
      <c r="K26" s="10"/>
      <c r="M26" s="10"/>
      <c r="N26" s="10"/>
      <c r="O26" s="10"/>
      <c r="P26" s="10"/>
      <c r="R26" s="48"/>
      <c r="S26" s="48"/>
      <c r="T26" s="1"/>
    </row>
    <row r="27" spans="1:20" ht="15" customHeight="1" x14ac:dyDescent="0.2">
      <c r="A27" s="10"/>
      <c r="B27" s="12" t="s">
        <v>81</v>
      </c>
      <c r="C27" s="48"/>
      <c r="E27" s="10"/>
      <c r="F27" s="10"/>
      <c r="H27" s="48"/>
      <c r="J27" s="10"/>
      <c r="K27" s="10"/>
      <c r="M27" s="48"/>
      <c r="O27" s="10"/>
      <c r="P27" s="10"/>
      <c r="R27" s="1"/>
      <c r="S27" s="1"/>
      <c r="T27" s="1"/>
    </row>
    <row r="28" spans="1:20" ht="15" customHeight="1" x14ac:dyDescent="0.2">
      <c r="A28" s="10"/>
      <c r="B28" s="5"/>
      <c r="C28" s="7"/>
      <c r="D28" s="91">
        <f>D7</f>
        <v>1</v>
      </c>
      <c r="E28" s="91">
        <f>E7</f>
        <v>2</v>
      </c>
      <c r="F28" s="91">
        <f>F7</f>
        <v>3</v>
      </c>
      <c r="G28" s="99"/>
      <c r="H28" s="7"/>
      <c r="I28" s="91">
        <f>I7</f>
        <v>1</v>
      </c>
      <c r="J28" s="91">
        <f>J7</f>
        <v>2</v>
      </c>
      <c r="K28" s="91">
        <f>K7</f>
        <v>3</v>
      </c>
      <c r="L28" s="99"/>
      <c r="M28" s="7"/>
      <c r="N28" s="91">
        <f>N7</f>
        <v>1</v>
      </c>
      <c r="O28" s="91">
        <f>O7</f>
        <v>2</v>
      </c>
      <c r="P28" s="91">
        <f>P7</f>
        <v>3</v>
      </c>
      <c r="Q28" s="86"/>
      <c r="R28" s="1"/>
      <c r="S28" s="1"/>
      <c r="T28" s="1"/>
    </row>
    <row r="29" spans="1:20" ht="15" customHeight="1" x14ac:dyDescent="0.2">
      <c r="A29" s="10"/>
      <c r="B29" s="54" t="s">
        <v>0</v>
      </c>
      <c r="C29" s="13"/>
      <c r="D29" s="64" t="str">
        <f t="shared" ref="D29:F46" si="24">IFERROR(D8/D$8,"n/a")</f>
        <v>n/a</v>
      </c>
      <c r="E29" s="64" t="str">
        <f t="shared" si="24"/>
        <v>n/a</v>
      </c>
      <c r="F29" s="64" t="str">
        <f t="shared" si="24"/>
        <v>n/a</v>
      </c>
      <c r="G29" s="99"/>
      <c r="H29" s="13"/>
      <c r="I29" s="64" t="str">
        <f t="shared" ref="I29:K46" si="25">IFERROR(I8/I$8,"n/a")</f>
        <v>n/a</v>
      </c>
      <c r="J29" s="64" t="str">
        <f t="shared" si="25"/>
        <v>n/a</v>
      </c>
      <c r="K29" s="64" t="str">
        <f t="shared" si="25"/>
        <v>n/a</v>
      </c>
      <c r="L29" s="99"/>
      <c r="M29" s="13"/>
      <c r="N29" s="64" t="str">
        <f t="shared" ref="N29:P46" si="26">IFERROR(N8/N$8,"n/a")</f>
        <v>n/a</v>
      </c>
      <c r="O29" s="64" t="str">
        <f t="shared" si="26"/>
        <v>n/a</v>
      </c>
      <c r="P29" s="64" t="str">
        <f t="shared" si="26"/>
        <v>n/a</v>
      </c>
      <c r="Q29" s="86"/>
      <c r="R29" s="1"/>
      <c r="S29" s="1"/>
      <c r="T29" s="1"/>
    </row>
    <row r="30" spans="1:20" ht="15" customHeight="1" x14ac:dyDescent="0.2">
      <c r="A30" s="10"/>
      <c r="B30" s="55" t="s">
        <v>29</v>
      </c>
      <c r="C30" s="14"/>
      <c r="D30" s="87" t="str">
        <f t="shared" si="24"/>
        <v>n/a</v>
      </c>
      <c r="E30" s="65" t="str">
        <f t="shared" si="24"/>
        <v>n/a</v>
      </c>
      <c r="F30" s="65" t="str">
        <f t="shared" si="24"/>
        <v>n/a</v>
      </c>
      <c r="G30" s="99"/>
      <c r="H30" s="14"/>
      <c r="I30" s="87" t="str">
        <f t="shared" si="25"/>
        <v>n/a</v>
      </c>
      <c r="J30" s="65" t="str">
        <f t="shared" si="25"/>
        <v>n/a</v>
      </c>
      <c r="K30" s="65" t="str">
        <f t="shared" si="25"/>
        <v>n/a</v>
      </c>
      <c r="L30" s="99"/>
      <c r="M30" s="14"/>
      <c r="N30" s="87" t="str">
        <f t="shared" si="26"/>
        <v>n/a</v>
      </c>
      <c r="O30" s="65" t="str">
        <f t="shared" si="26"/>
        <v>n/a</v>
      </c>
      <c r="P30" s="65" t="str">
        <f t="shared" si="26"/>
        <v>n/a</v>
      </c>
      <c r="Q30" s="86"/>
      <c r="R30" s="1"/>
      <c r="S30" s="1"/>
      <c r="T30" s="1"/>
    </row>
    <row r="31" spans="1:20" ht="15" customHeight="1" x14ac:dyDescent="0.2">
      <c r="A31" s="10"/>
      <c r="B31" s="56" t="s">
        <v>1</v>
      </c>
      <c r="C31" s="15"/>
      <c r="D31" s="66" t="str">
        <f t="shared" si="24"/>
        <v>n/a</v>
      </c>
      <c r="E31" s="66" t="str">
        <f t="shared" si="24"/>
        <v>n/a</v>
      </c>
      <c r="F31" s="66" t="str">
        <f t="shared" si="24"/>
        <v>n/a</v>
      </c>
      <c r="G31" s="99"/>
      <c r="H31" s="15"/>
      <c r="I31" s="66" t="str">
        <f t="shared" si="25"/>
        <v>n/a</v>
      </c>
      <c r="J31" s="66" t="str">
        <f t="shared" si="25"/>
        <v>n/a</v>
      </c>
      <c r="K31" s="66" t="str">
        <f t="shared" si="25"/>
        <v>n/a</v>
      </c>
      <c r="L31" s="99"/>
      <c r="M31" s="15"/>
      <c r="N31" s="66" t="str">
        <f t="shared" si="26"/>
        <v>n/a</v>
      </c>
      <c r="O31" s="66" t="str">
        <f t="shared" si="26"/>
        <v>n/a</v>
      </c>
      <c r="P31" s="66" t="str">
        <f t="shared" si="26"/>
        <v>n/a</v>
      </c>
      <c r="Q31" s="86"/>
      <c r="R31" s="1"/>
      <c r="S31" s="1"/>
      <c r="T31" s="1"/>
    </row>
    <row r="32" spans="1:20" ht="15" customHeight="1" x14ac:dyDescent="0.2">
      <c r="A32" s="10"/>
      <c r="B32" s="28" t="s">
        <v>32</v>
      </c>
      <c r="C32" s="17"/>
      <c r="D32" s="67" t="str">
        <f t="shared" si="24"/>
        <v>n/a</v>
      </c>
      <c r="E32" s="67" t="str">
        <f t="shared" si="24"/>
        <v>n/a</v>
      </c>
      <c r="F32" s="67" t="str">
        <f t="shared" si="24"/>
        <v>n/a</v>
      </c>
      <c r="G32" s="99"/>
      <c r="H32" s="17"/>
      <c r="I32" s="67" t="str">
        <f t="shared" si="25"/>
        <v>n/a</v>
      </c>
      <c r="J32" s="67" t="str">
        <f t="shared" si="25"/>
        <v>n/a</v>
      </c>
      <c r="K32" s="67" t="str">
        <f t="shared" si="25"/>
        <v>n/a</v>
      </c>
      <c r="L32" s="99"/>
      <c r="M32" s="17"/>
      <c r="N32" s="67" t="str">
        <f t="shared" si="26"/>
        <v>n/a</v>
      </c>
      <c r="O32" s="67" t="str">
        <f t="shared" si="26"/>
        <v>n/a</v>
      </c>
      <c r="P32" s="67" t="str">
        <f t="shared" si="26"/>
        <v>n/a</v>
      </c>
      <c r="Q32" s="86"/>
      <c r="R32" s="1"/>
      <c r="S32" s="1"/>
      <c r="T32" s="1"/>
    </row>
    <row r="33" spans="1:20" ht="15" customHeight="1" x14ac:dyDescent="0.2">
      <c r="A33" s="10"/>
      <c r="B33" s="28" t="s">
        <v>33</v>
      </c>
      <c r="C33" s="17"/>
      <c r="D33" s="67" t="str">
        <f t="shared" si="24"/>
        <v>n/a</v>
      </c>
      <c r="E33" s="67" t="str">
        <f t="shared" si="24"/>
        <v>n/a</v>
      </c>
      <c r="F33" s="67" t="str">
        <f t="shared" si="24"/>
        <v>n/a</v>
      </c>
      <c r="G33" s="99"/>
      <c r="H33" s="17"/>
      <c r="I33" s="67" t="str">
        <f t="shared" si="25"/>
        <v>n/a</v>
      </c>
      <c r="J33" s="67" t="str">
        <f t="shared" si="25"/>
        <v>n/a</v>
      </c>
      <c r="K33" s="67" t="str">
        <f t="shared" si="25"/>
        <v>n/a</v>
      </c>
      <c r="L33" s="99"/>
      <c r="M33" s="17"/>
      <c r="N33" s="67" t="str">
        <f t="shared" si="26"/>
        <v>n/a</v>
      </c>
      <c r="O33" s="67" t="str">
        <f t="shared" si="26"/>
        <v>n/a</v>
      </c>
      <c r="P33" s="67" t="str">
        <f t="shared" si="26"/>
        <v>n/a</v>
      </c>
      <c r="Q33" s="86"/>
      <c r="R33" s="1"/>
      <c r="S33" s="1"/>
      <c r="T33" s="1"/>
    </row>
    <row r="34" spans="1:20" ht="15" customHeight="1" x14ac:dyDescent="0.2">
      <c r="A34" s="10"/>
      <c r="B34" s="28" t="s">
        <v>34</v>
      </c>
      <c r="C34" s="17"/>
      <c r="D34" s="67" t="str">
        <f t="shared" si="24"/>
        <v>n/a</v>
      </c>
      <c r="E34" s="67" t="str">
        <f t="shared" si="24"/>
        <v>n/a</v>
      </c>
      <c r="F34" s="67" t="str">
        <f t="shared" si="24"/>
        <v>n/a</v>
      </c>
      <c r="G34" s="99"/>
      <c r="H34" s="17"/>
      <c r="I34" s="67" t="str">
        <f t="shared" si="25"/>
        <v>n/a</v>
      </c>
      <c r="J34" s="67" t="str">
        <f t="shared" si="25"/>
        <v>n/a</v>
      </c>
      <c r="K34" s="67" t="str">
        <f t="shared" si="25"/>
        <v>n/a</v>
      </c>
      <c r="L34" s="99"/>
      <c r="M34" s="17"/>
      <c r="N34" s="67" t="str">
        <f t="shared" si="26"/>
        <v>n/a</v>
      </c>
      <c r="O34" s="67" t="str">
        <f t="shared" si="26"/>
        <v>n/a</v>
      </c>
      <c r="P34" s="67" t="str">
        <f t="shared" si="26"/>
        <v>n/a</v>
      </c>
      <c r="Q34" s="86"/>
      <c r="R34" s="1"/>
      <c r="S34" s="1"/>
      <c r="T34" s="1"/>
    </row>
    <row r="35" spans="1:20" ht="15" customHeight="1" x14ac:dyDescent="0.2">
      <c r="A35" s="10"/>
      <c r="B35" s="57" t="s">
        <v>35</v>
      </c>
      <c r="C35" s="19"/>
      <c r="D35" s="68" t="str">
        <f t="shared" si="24"/>
        <v>n/a</v>
      </c>
      <c r="E35" s="68" t="str">
        <f t="shared" si="24"/>
        <v>n/a</v>
      </c>
      <c r="F35" s="68" t="str">
        <f t="shared" si="24"/>
        <v>n/a</v>
      </c>
      <c r="G35" s="99"/>
      <c r="H35" s="19"/>
      <c r="I35" s="68" t="str">
        <f t="shared" si="25"/>
        <v>n/a</v>
      </c>
      <c r="J35" s="68" t="str">
        <f t="shared" si="25"/>
        <v>n/a</v>
      </c>
      <c r="K35" s="68" t="str">
        <f t="shared" si="25"/>
        <v>n/a</v>
      </c>
      <c r="L35" s="99"/>
      <c r="M35" s="19"/>
      <c r="N35" s="68" t="str">
        <f t="shared" si="26"/>
        <v>n/a</v>
      </c>
      <c r="O35" s="68" t="str">
        <f t="shared" si="26"/>
        <v>n/a</v>
      </c>
      <c r="P35" s="68" t="str">
        <f t="shared" si="26"/>
        <v>n/a</v>
      </c>
      <c r="Q35" s="86"/>
      <c r="R35" s="1"/>
      <c r="S35" s="1"/>
      <c r="T35" s="1"/>
    </row>
    <row r="36" spans="1:20" ht="15" customHeight="1" x14ac:dyDescent="0.2">
      <c r="A36" s="10"/>
      <c r="B36" s="28" t="s">
        <v>36</v>
      </c>
      <c r="C36" s="17"/>
      <c r="D36" s="67" t="str">
        <f t="shared" si="24"/>
        <v>n/a</v>
      </c>
      <c r="E36" s="67" t="str">
        <f t="shared" si="24"/>
        <v>n/a</v>
      </c>
      <c r="F36" s="67" t="str">
        <f t="shared" si="24"/>
        <v>n/a</v>
      </c>
      <c r="G36" s="99"/>
      <c r="H36" s="17"/>
      <c r="I36" s="67" t="str">
        <f t="shared" si="25"/>
        <v>n/a</v>
      </c>
      <c r="J36" s="67" t="str">
        <f t="shared" si="25"/>
        <v>n/a</v>
      </c>
      <c r="K36" s="67" t="str">
        <f t="shared" si="25"/>
        <v>n/a</v>
      </c>
      <c r="L36" s="99"/>
      <c r="M36" s="17"/>
      <c r="N36" s="67" t="str">
        <f t="shared" si="26"/>
        <v>n/a</v>
      </c>
      <c r="O36" s="67" t="str">
        <f t="shared" si="26"/>
        <v>n/a</v>
      </c>
      <c r="P36" s="67" t="str">
        <f t="shared" si="26"/>
        <v>n/a</v>
      </c>
      <c r="Q36" s="86"/>
      <c r="R36" s="1"/>
      <c r="S36" s="1"/>
      <c r="T36" s="1"/>
    </row>
    <row r="37" spans="1:20" ht="15" customHeight="1" x14ac:dyDescent="0.2">
      <c r="A37" s="10"/>
      <c r="B37" s="28" t="s">
        <v>37</v>
      </c>
      <c r="C37" s="17"/>
      <c r="D37" s="67" t="str">
        <f t="shared" si="24"/>
        <v>n/a</v>
      </c>
      <c r="E37" s="67" t="str">
        <f t="shared" si="24"/>
        <v>n/a</v>
      </c>
      <c r="F37" s="67" t="str">
        <f t="shared" si="24"/>
        <v>n/a</v>
      </c>
      <c r="G37" s="99"/>
      <c r="H37" s="17"/>
      <c r="I37" s="67" t="str">
        <f t="shared" si="25"/>
        <v>n/a</v>
      </c>
      <c r="J37" s="67" t="str">
        <f t="shared" si="25"/>
        <v>n/a</v>
      </c>
      <c r="K37" s="67" t="str">
        <f t="shared" si="25"/>
        <v>n/a</v>
      </c>
      <c r="L37" s="99"/>
      <c r="M37" s="17"/>
      <c r="N37" s="67" t="str">
        <f t="shared" si="26"/>
        <v>n/a</v>
      </c>
      <c r="O37" s="67" t="str">
        <f t="shared" si="26"/>
        <v>n/a</v>
      </c>
      <c r="P37" s="67" t="str">
        <f t="shared" si="26"/>
        <v>n/a</v>
      </c>
      <c r="Q37" s="86"/>
      <c r="R37" s="1"/>
      <c r="S37" s="1"/>
      <c r="T37" s="1"/>
    </row>
    <row r="38" spans="1:20" ht="15" customHeight="1" x14ac:dyDescent="0.2">
      <c r="A38" s="10"/>
      <c r="B38" s="28" t="s">
        <v>38</v>
      </c>
      <c r="C38" s="17"/>
      <c r="D38" s="67" t="str">
        <f t="shared" si="24"/>
        <v>n/a</v>
      </c>
      <c r="E38" s="67" t="str">
        <f t="shared" si="24"/>
        <v>n/a</v>
      </c>
      <c r="F38" s="67" t="str">
        <f t="shared" si="24"/>
        <v>n/a</v>
      </c>
      <c r="G38" s="99"/>
      <c r="H38" s="17"/>
      <c r="I38" s="67" t="str">
        <f t="shared" si="25"/>
        <v>n/a</v>
      </c>
      <c r="J38" s="67" t="str">
        <f t="shared" si="25"/>
        <v>n/a</v>
      </c>
      <c r="K38" s="67" t="str">
        <f t="shared" si="25"/>
        <v>n/a</v>
      </c>
      <c r="L38" s="99"/>
      <c r="M38" s="17"/>
      <c r="N38" s="67" t="str">
        <f t="shared" si="26"/>
        <v>n/a</v>
      </c>
      <c r="O38" s="67" t="str">
        <f t="shared" si="26"/>
        <v>n/a</v>
      </c>
      <c r="P38" s="67" t="str">
        <f t="shared" si="26"/>
        <v>n/a</v>
      </c>
      <c r="Q38" s="86"/>
      <c r="R38" s="1"/>
      <c r="S38" s="1"/>
      <c r="T38" s="1"/>
    </row>
    <row r="39" spans="1:20" ht="15" customHeight="1" x14ac:dyDescent="0.2">
      <c r="A39" s="10"/>
      <c r="B39" s="57" t="s">
        <v>40</v>
      </c>
      <c r="C39" s="19"/>
      <c r="D39" s="68" t="str">
        <f t="shared" si="24"/>
        <v>n/a</v>
      </c>
      <c r="E39" s="68" t="str">
        <f t="shared" si="24"/>
        <v>n/a</v>
      </c>
      <c r="F39" s="68" t="str">
        <f t="shared" si="24"/>
        <v>n/a</v>
      </c>
      <c r="G39" s="99"/>
      <c r="H39" s="19"/>
      <c r="I39" s="68" t="str">
        <f t="shared" si="25"/>
        <v>n/a</v>
      </c>
      <c r="J39" s="68" t="str">
        <f t="shared" si="25"/>
        <v>n/a</v>
      </c>
      <c r="K39" s="68" t="str">
        <f t="shared" si="25"/>
        <v>n/a</v>
      </c>
      <c r="L39" s="99"/>
      <c r="M39" s="19"/>
      <c r="N39" s="68" t="str">
        <f t="shared" si="26"/>
        <v>n/a</v>
      </c>
      <c r="O39" s="68" t="str">
        <f t="shared" si="26"/>
        <v>n/a</v>
      </c>
      <c r="P39" s="68" t="str">
        <f t="shared" si="26"/>
        <v>n/a</v>
      </c>
      <c r="Q39" s="86"/>
      <c r="R39" s="1"/>
      <c r="S39" s="1"/>
      <c r="T39" s="1"/>
    </row>
    <row r="40" spans="1:20" ht="15" customHeight="1" x14ac:dyDescent="0.2">
      <c r="A40" s="10"/>
      <c r="B40" s="56" t="s">
        <v>39</v>
      </c>
      <c r="C40" s="15"/>
      <c r="D40" s="66" t="str">
        <f t="shared" si="24"/>
        <v>n/a</v>
      </c>
      <c r="E40" s="66" t="str">
        <f t="shared" si="24"/>
        <v>n/a</v>
      </c>
      <c r="F40" s="66" t="str">
        <f t="shared" si="24"/>
        <v>n/a</v>
      </c>
      <c r="G40" s="99"/>
      <c r="H40" s="15"/>
      <c r="I40" s="66" t="str">
        <f t="shared" si="25"/>
        <v>n/a</v>
      </c>
      <c r="J40" s="66" t="str">
        <f t="shared" si="25"/>
        <v>n/a</v>
      </c>
      <c r="K40" s="66" t="str">
        <f t="shared" si="25"/>
        <v>n/a</v>
      </c>
      <c r="L40" s="99"/>
      <c r="M40" s="15"/>
      <c r="N40" s="66" t="str">
        <f t="shared" si="26"/>
        <v>n/a</v>
      </c>
      <c r="O40" s="66" t="str">
        <f t="shared" si="26"/>
        <v>n/a</v>
      </c>
      <c r="P40" s="66" t="str">
        <f t="shared" si="26"/>
        <v>n/a</v>
      </c>
      <c r="Q40" s="86"/>
      <c r="R40" s="1"/>
      <c r="S40" s="1"/>
      <c r="T40" s="1"/>
    </row>
    <row r="41" spans="1:20" ht="15" customHeight="1" x14ac:dyDescent="0.2">
      <c r="A41" s="10"/>
      <c r="B41" s="58" t="s">
        <v>41</v>
      </c>
      <c r="C41" s="20"/>
      <c r="D41" s="69" t="str">
        <f t="shared" si="24"/>
        <v>n/a</v>
      </c>
      <c r="E41" s="69" t="str">
        <f t="shared" si="24"/>
        <v>n/a</v>
      </c>
      <c r="F41" s="69" t="str">
        <f t="shared" si="24"/>
        <v>n/a</v>
      </c>
      <c r="G41" s="99"/>
      <c r="H41" s="20"/>
      <c r="I41" s="69" t="str">
        <f t="shared" si="25"/>
        <v>n/a</v>
      </c>
      <c r="J41" s="69" t="str">
        <f t="shared" si="25"/>
        <v>n/a</v>
      </c>
      <c r="K41" s="69" t="str">
        <f t="shared" si="25"/>
        <v>n/a</v>
      </c>
      <c r="L41" s="99"/>
      <c r="M41" s="20"/>
      <c r="N41" s="69" t="str">
        <f t="shared" si="26"/>
        <v>n/a</v>
      </c>
      <c r="O41" s="69" t="str">
        <f t="shared" si="26"/>
        <v>n/a</v>
      </c>
      <c r="P41" s="69" t="str">
        <f t="shared" si="26"/>
        <v>n/a</v>
      </c>
      <c r="Q41" s="86"/>
      <c r="R41" s="1"/>
      <c r="S41" s="1"/>
      <c r="T41" s="1"/>
    </row>
    <row r="42" spans="1:20" ht="15" customHeight="1" x14ac:dyDescent="0.2">
      <c r="A42" s="10"/>
      <c r="B42" s="59" t="s">
        <v>73</v>
      </c>
      <c r="C42" s="21"/>
      <c r="D42" s="70" t="str">
        <f t="shared" si="24"/>
        <v>n/a</v>
      </c>
      <c r="E42" s="70" t="str">
        <f t="shared" si="24"/>
        <v>n/a</v>
      </c>
      <c r="F42" s="70" t="str">
        <f t="shared" si="24"/>
        <v>n/a</v>
      </c>
      <c r="G42" s="99"/>
      <c r="H42" s="21"/>
      <c r="I42" s="70" t="str">
        <f t="shared" si="25"/>
        <v>n/a</v>
      </c>
      <c r="J42" s="70" t="str">
        <f t="shared" si="25"/>
        <v>n/a</v>
      </c>
      <c r="K42" s="70" t="str">
        <f t="shared" si="25"/>
        <v>n/a</v>
      </c>
      <c r="L42" s="99"/>
      <c r="M42" s="21"/>
      <c r="N42" s="70" t="str">
        <f t="shared" si="26"/>
        <v>n/a</v>
      </c>
      <c r="O42" s="70" t="str">
        <f t="shared" si="26"/>
        <v>n/a</v>
      </c>
      <c r="P42" s="70" t="str">
        <f t="shared" si="26"/>
        <v>n/a</v>
      </c>
      <c r="Q42" s="86"/>
      <c r="R42" s="1"/>
      <c r="S42" s="1"/>
      <c r="T42" s="1"/>
    </row>
    <row r="43" spans="1:20" ht="15" customHeight="1" x14ac:dyDescent="0.2">
      <c r="A43" s="10"/>
      <c r="B43" s="57" t="s">
        <v>64</v>
      </c>
      <c r="C43" s="19"/>
      <c r="D43" s="68" t="str">
        <f t="shared" si="24"/>
        <v>n/a</v>
      </c>
      <c r="E43" s="68" t="str">
        <f t="shared" si="24"/>
        <v>n/a</v>
      </c>
      <c r="F43" s="68" t="str">
        <f t="shared" si="24"/>
        <v>n/a</v>
      </c>
      <c r="G43" s="99"/>
      <c r="H43" s="19"/>
      <c r="I43" s="68" t="str">
        <f t="shared" si="25"/>
        <v>n/a</v>
      </c>
      <c r="J43" s="68" t="str">
        <f t="shared" si="25"/>
        <v>n/a</v>
      </c>
      <c r="K43" s="68" t="str">
        <f t="shared" si="25"/>
        <v>n/a</v>
      </c>
      <c r="L43" s="99"/>
      <c r="M43" s="19"/>
      <c r="N43" s="68" t="str">
        <f t="shared" si="26"/>
        <v>n/a</v>
      </c>
      <c r="O43" s="68" t="str">
        <f t="shared" si="26"/>
        <v>n/a</v>
      </c>
      <c r="P43" s="68" t="str">
        <f t="shared" si="26"/>
        <v>n/a</v>
      </c>
      <c r="Q43" s="86"/>
      <c r="R43" s="1"/>
      <c r="S43" s="1"/>
      <c r="T43" s="1"/>
    </row>
    <row r="44" spans="1:20" ht="15" customHeight="1" x14ac:dyDescent="0.2">
      <c r="A44" s="10"/>
      <c r="B44" s="56" t="s">
        <v>42</v>
      </c>
      <c r="C44" s="15"/>
      <c r="D44" s="66" t="str">
        <f t="shared" si="24"/>
        <v>n/a</v>
      </c>
      <c r="E44" s="66" t="str">
        <f t="shared" si="24"/>
        <v>n/a</v>
      </c>
      <c r="F44" s="66" t="str">
        <f t="shared" si="24"/>
        <v>n/a</v>
      </c>
      <c r="G44" s="99"/>
      <c r="H44" s="15"/>
      <c r="I44" s="66" t="str">
        <f t="shared" si="25"/>
        <v>n/a</v>
      </c>
      <c r="J44" s="66" t="str">
        <f t="shared" si="25"/>
        <v>n/a</v>
      </c>
      <c r="K44" s="66" t="str">
        <f t="shared" si="25"/>
        <v>n/a</v>
      </c>
      <c r="L44" s="99"/>
      <c r="M44" s="15"/>
      <c r="N44" s="66" t="str">
        <f t="shared" si="26"/>
        <v>n/a</v>
      </c>
      <c r="O44" s="66" t="str">
        <f t="shared" si="26"/>
        <v>n/a</v>
      </c>
      <c r="P44" s="66" t="str">
        <f t="shared" si="26"/>
        <v>n/a</v>
      </c>
      <c r="Q44" s="86"/>
      <c r="R44" s="1"/>
      <c r="S44" s="1"/>
      <c r="T44" s="1"/>
    </row>
    <row r="45" spans="1:20" ht="15" customHeight="1" x14ac:dyDescent="0.2">
      <c r="A45" s="10"/>
      <c r="B45" s="55" t="s">
        <v>43</v>
      </c>
      <c r="C45" s="14"/>
      <c r="D45" s="87" t="str">
        <f t="shared" si="24"/>
        <v>n/a</v>
      </c>
      <c r="E45" s="65" t="str">
        <f t="shared" si="24"/>
        <v>n/a</v>
      </c>
      <c r="F45" s="65" t="str">
        <f t="shared" si="24"/>
        <v>n/a</v>
      </c>
      <c r="G45" s="99"/>
      <c r="H45" s="14"/>
      <c r="I45" s="87" t="str">
        <f t="shared" si="25"/>
        <v>n/a</v>
      </c>
      <c r="J45" s="65" t="str">
        <f t="shared" si="25"/>
        <v>n/a</v>
      </c>
      <c r="K45" s="65" t="str">
        <f t="shared" si="25"/>
        <v>n/a</v>
      </c>
      <c r="L45" s="99"/>
      <c r="M45" s="14"/>
      <c r="N45" s="87" t="str">
        <f t="shared" si="26"/>
        <v>n/a</v>
      </c>
      <c r="O45" s="65" t="str">
        <f t="shared" si="26"/>
        <v>n/a</v>
      </c>
      <c r="P45" s="65" t="str">
        <f t="shared" si="26"/>
        <v>n/a</v>
      </c>
      <c r="Q45" s="86"/>
      <c r="R45" s="1"/>
      <c r="S45" s="1"/>
      <c r="T45" s="1"/>
    </row>
    <row r="46" spans="1:20" ht="15" customHeight="1" x14ac:dyDescent="0.2">
      <c r="A46" s="10"/>
      <c r="B46" s="56" t="s">
        <v>44</v>
      </c>
      <c r="C46" s="15"/>
      <c r="D46" s="66" t="str">
        <f t="shared" si="24"/>
        <v>n/a</v>
      </c>
      <c r="E46" s="66" t="str">
        <f t="shared" si="24"/>
        <v>n/a</v>
      </c>
      <c r="F46" s="66" t="str">
        <f t="shared" si="24"/>
        <v>n/a</v>
      </c>
      <c r="G46" s="99"/>
      <c r="H46" s="15"/>
      <c r="I46" s="66" t="str">
        <f t="shared" si="25"/>
        <v>n/a</v>
      </c>
      <c r="J46" s="66" t="str">
        <f t="shared" si="25"/>
        <v>n/a</v>
      </c>
      <c r="K46" s="66" t="str">
        <f t="shared" si="25"/>
        <v>n/a</v>
      </c>
      <c r="L46" s="99"/>
      <c r="M46" s="15"/>
      <c r="N46" s="66" t="str">
        <f t="shared" si="26"/>
        <v>n/a</v>
      </c>
      <c r="O46" s="66" t="str">
        <f t="shared" si="26"/>
        <v>n/a</v>
      </c>
      <c r="P46" s="66" t="str">
        <f t="shared" si="26"/>
        <v>n/a</v>
      </c>
      <c r="Q46" s="86"/>
      <c r="R46" s="1"/>
      <c r="S46" s="1"/>
      <c r="T46" s="1"/>
    </row>
    <row r="47" spans="1:20" ht="15" customHeight="1" x14ac:dyDescent="0.2">
      <c r="A47" s="10"/>
      <c r="B47" s="10"/>
      <c r="C47" s="10"/>
      <c r="D47" s="10"/>
      <c r="E47" s="10"/>
      <c r="F47" s="10"/>
      <c r="H47" s="10"/>
      <c r="I47" s="10"/>
      <c r="J47" s="10"/>
      <c r="K47" s="10"/>
      <c r="M47" s="10"/>
      <c r="N47" s="10"/>
      <c r="O47" s="10"/>
      <c r="P47" s="10"/>
      <c r="R47" s="48"/>
      <c r="S47" s="48"/>
      <c r="T47" s="1"/>
    </row>
    <row r="48" spans="1:20" ht="15" customHeight="1" x14ac:dyDescent="0.2">
      <c r="B48" s="2" t="s">
        <v>6</v>
      </c>
      <c r="C48" s="22"/>
      <c r="D48" s="22"/>
      <c r="E48" s="23"/>
      <c r="F48" s="22"/>
      <c r="H48" s="22"/>
      <c r="I48" s="22"/>
      <c r="J48" s="23"/>
      <c r="K48" s="22"/>
      <c r="M48" s="22"/>
      <c r="N48" s="22"/>
      <c r="O48" s="23"/>
      <c r="P48" s="22"/>
      <c r="R48" s="46"/>
      <c r="S48" s="1"/>
      <c r="T48" s="1"/>
    </row>
    <row r="49" spans="2:20" ht="15" customHeight="1" x14ac:dyDescent="0.2">
      <c r="B49" s="24"/>
      <c r="C49" s="91">
        <v>0</v>
      </c>
      <c r="D49" s="91">
        <f>D$7</f>
        <v>1</v>
      </c>
      <c r="E49" s="91">
        <f>E$7</f>
        <v>2</v>
      </c>
      <c r="F49" s="91">
        <f>F$7</f>
        <v>3</v>
      </c>
      <c r="G49" s="99"/>
      <c r="H49" s="91">
        <v>0</v>
      </c>
      <c r="I49" s="91">
        <f>I$7</f>
        <v>1</v>
      </c>
      <c r="J49" s="91">
        <f>J$7</f>
        <v>2</v>
      </c>
      <c r="K49" s="91">
        <f>K$7</f>
        <v>3</v>
      </c>
      <c r="L49" s="99"/>
      <c r="M49" s="91">
        <v>0</v>
      </c>
      <c r="N49" s="91">
        <f>N$7</f>
        <v>1</v>
      </c>
      <c r="O49" s="91">
        <f>O$7</f>
        <v>2</v>
      </c>
      <c r="P49" s="91">
        <f>P$7</f>
        <v>3</v>
      </c>
      <c r="Q49" s="86"/>
      <c r="R49" s="47"/>
      <c r="S49" s="1"/>
      <c r="T49" s="1"/>
    </row>
    <row r="50" spans="2:20" ht="15" customHeight="1" x14ac:dyDescent="0.2">
      <c r="B50" s="26" t="s">
        <v>2</v>
      </c>
      <c r="C50" s="25"/>
      <c r="D50" s="25"/>
      <c r="E50" s="25"/>
      <c r="F50" s="25"/>
      <c r="G50" s="99"/>
      <c r="H50" s="25"/>
      <c r="I50" s="25"/>
      <c r="J50" s="25"/>
      <c r="K50" s="25"/>
      <c r="L50" s="99"/>
      <c r="M50" s="25"/>
      <c r="N50" s="25"/>
      <c r="O50" s="25"/>
      <c r="P50" s="25"/>
      <c r="Q50" s="86"/>
      <c r="R50" s="41"/>
      <c r="S50" s="1"/>
      <c r="T50" s="1"/>
    </row>
    <row r="51" spans="2:20" ht="15" customHeight="1" x14ac:dyDescent="0.2">
      <c r="B51" s="27" t="s">
        <v>7</v>
      </c>
      <c r="C51" s="17"/>
      <c r="D51" s="17"/>
      <c r="E51" s="17"/>
      <c r="F51" s="17"/>
      <c r="G51" s="99"/>
      <c r="H51" s="17"/>
      <c r="I51" s="17"/>
      <c r="J51" s="17"/>
      <c r="K51" s="17"/>
      <c r="L51" s="99"/>
      <c r="M51" s="17"/>
      <c r="N51" s="17"/>
      <c r="O51" s="17"/>
      <c r="P51" s="17"/>
      <c r="Q51" s="86"/>
      <c r="R51" s="41"/>
      <c r="S51" s="1"/>
      <c r="T51" s="1"/>
    </row>
    <row r="52" spans="2:20" ht="15" customHeight="1" x14ac:dyDescent="0.2">
      <c r="B52" s="28" t="s">
        <v>3</v>
      </c>
      <c r="C52" s="82"/>
      <c r="D52" s="82"/>
      <c r="E52" s="82"/>
      <c r="F52" s="82"/>
      <c r="G52" s="99"/>
      <c r="H52" s="82"/>
      <c r="I52" s="82"/>
      <c r="J52" s="82"/>
      <c r="K52" s="82"/>
      <c r="L52" s="99"/>
      <c r="M52" s="82"/>
      <c r="N52" s="82"/>
      <c r="O52" s="82"/>
      <c r="P52" s="82"/>
      <c r="Q52" s="86"/>
      <c r="R52" s="41"/>
      <c r="S52" s="1"/>
      <c r="T52" s="1"/>
    </row>
    <row r="53" spans="2:20" ht="15" customHeight="1" x14ac:dyDescent="0.2">
      <c r="B53" s="28" t="s">
        <v>45</v>
      </c>
      <c r="C53" s="82"/>
      <c r="D53" s="82"/>
      <c r="E53" s="82"/>
      <c r="F53" s="82"/>
      <c r="G53" s="99"/>
      <c r="H53" s="82"/>
      <c r="I53" s="82"/>
      <c r="J53" s="82"/>
      <c r="K53" s="82"/>
      <c r="L53" s="99"/>
      <c r="M53" s="82"/>
      <c r="N53" s="82"/>
      <c r="O53" s="82"/>
      <c r="P53" s="82"/>
      <c r="Q53" s="86"/>
      <c r="R53" s="41"/>
      <c r="S53" s="1"/>
      <c r="T53" s="1"/>
    </row>
    <row r="54" spans="2:20" ht="15" customHeight="1" x14ac:dyDescent="0.2">
      <c r="B54" s="28" t="s">
        <v>71</v>
      </c>
      <c r="C54" s="82"/>
      <c r="D54" s="82"/>
      <c r="E54" s="82"/>
      <c r="F54" s="82"/>
      <c r="G54" s="99"/>
      <c r="H54" s="82"/>
      <c r="I54" s="82"/>
      <c r="J54" s="82"/>
      <c r="K54" s="82"/>
      <c r="L54" s="99"/>
      <c r="M54" s="82"/>
      <c r="N54" s="82"/>
      <c r="O54" s="82"/>
      <c r="P54" s="82"/>
      <c r="Q54" s="86"/>
      <c r="R54" s="50"/>
      <c r="S54" s="1"/>
      <c r="T54" s="1"/>
    </row>
    <row r="55" spans="2:20" ht="15" customHeight="1" x14ac:dyDescent="0.2">
      <c r="B55" s="28" t="s">
        <v>46</v>
      </c>
      <c r="C55" s="82"/>
      <c r="D55" s="82"/>
      <c r="E55" s="82"/>
      <c r="F55" s="82"/>
      <c r="G55" s="99"/>
      <c r="H55" s="82"/>
      <c r="I55" s="82"/>
      <c r="J55" s="82"/>
      <c r="K55" s="82"/>
      <c r="L55" s="99"/>
      <c r="M55" s="82"/>
      <c r="N55" s="82"/>
      <c r="O55" s="82"/>
      <c r="P55" s="82"/>
      <c r="Q55" s="86"/>
      <c r="R55" s="41"/>
      <c r="S55" s="1"/>
      <c r="T55" s="1"/>
    </row>
    <row r="56" spans="2:20" ht="15" customHeight="1" x14ac:dyDescent="0.2">
      <c r="B56" s="57" t="s">
        <v>47</v>
      </c>
      <c r="C56" s="19">
        <f t="shared" ref="C56:E56" si="27">SUM(C52:C53,C54:C55)</f>
        <v>0</v>
      </c>
      <c r="D56" s="19">
        <f t="shared" si="27"/>
        <v>0</v>
      </c>
      <c r="E56" s="19">
        <f t="shared" si="27"/>
        <v>0</v>
      </c>
      <c r="F56" s="19">
        <f t="shared" ref="F56" si="28">SUM(F52:F53,F54:F55)</f>
        <v>0</v>
      </c>
      <c r="G56" s="99"/>
      <c r="H56" s="19">
        <f t="shared" ref="H56:K56" si="29">SUM(H52:H53,H54:H55)</f>
        <v>0</v>
      </c>
      <c r="I56" s="19">
        <f t="shared" si="29"/>
        <v>0</v>
      </c>
      <c r="J56" s="19">
        <f t="shared" si="29"/>
        <v>0</v>
      </c>
      <c r="K56" s="19">
        <f t="shared" si="29"/>
        <v>0</v>
      </c>
      <c r="L56" s="99"/>
      <c r="M56" s="19">
        <f t="shared" ref="M56:P56" si="30">SUM(M52:M53,M54:M55)</f>
        <v>0</v>
      </c>
      <c r="N56" s="19">
        <f t="shared" si="30"/>
        <v>0</v>
      </c>
      <c r="O56" s="19">
        <f t="shared" si="30"/>
        <v>0</v>
      </c>
      <c r="P56" s="19">
        <f t="shared" si="30"/>
        <v>0</v>
      </c>
      <c r="Q56" s="86"/>
      <c r="R56" s="49"/>
      <c r="S56" s="1"/>
      <c r="T56" s="1"/>
    </row>
    <row r="57" spans="2:20" ht="15" customHeight="1" x14ac:dyDescent="0.2">
      <c r="B57" s="27" t="s">
        <v>112</v>
      </c>
      <c r="C57" s="17" t="s">
        <v>5</v>
      </c>
      <c r="D57" s="17" t="s">
        <v>5</v>
      </c>
      <c r="E57" s="17" t="s">
        <v>5</v>
      </c>
      <c r="F57" s="17" t="s">
        <v>5</v>
      </c>
      <c r="G57" s="99"/>
      <c r="H57" s="17" t="s">
        <v>5</v>
      </c>
      <c r="I57" s="17" t="s">
        <v>5</v>
      </c>
      <c r="J57" s="17" t="s">
        <v>5</v>
      </c>
      <c r="K57" s="17" t="s">
        <v>5</v>
      </c>
      <c r="L57" s="99"/>
      <c r="M57" s="17" t="s">
        <v>5</v>
      </c>
      <c r="N57" s="17" t="s">
        <v>5</v>
      </c>
      <c r="O57" s="17" t="s">
        <v>5</v>
      </c>
      <c r="P57" s="17" t="s">
        <v>5</v>
      </c>
      <c r="Q57" s="86"/>
      <c r="R57" s="41"/>
      <c r="S57" s="1"/>
      <c r="T57" s="1"/>
    </row>
    <row r="58" spans="2:20" ht="15" customHeight="1" x14ac:dyDescent="0.2">
      <c r="B58" s="60" t="s">
        <v>79</v>
      </c>
      <c r="C58" s="30"/>
      <c r="D58" s="30"/>
      <c r="E58" s="30"/>
      <c r="F58" s="30"/>
      <c r="G58" s="99"/>
      <c r="H58" s="30"/>
      <c r="I58" s="30"/>
      <c r="J58" s="30"/>
      <c r="K58" s="30"/>
      <c r="L58" s="99"/>
      <c r="M58" s="30"/>
      <c r="N58" s="30"/>
      <c r="O58" s="30"/>
      <c r="P58" s="30"/>
      <c r="Q58" s="86"/>
      <c r="R58" s="41"/>
      <c r="S58" s="1"/>
      <c r="T58" s="1"/>
    </row>
    <row r="59" spans="2:20" ht="15" customHeight="1" x14ac:dyDescent="0.2">
      <c r="B59" s="53" t="s">
        <v>4</v>
      </c>
      <c r="C59" s="82"/>
      <c r="D59" s="82"/>
      <c r="E59" s="82"/>
      <c r="F59" s="82"/>
      <c r="G59" s="99"/>
      <c r="H59" s="82"/>
      <c r="I59" s="82"/>
      <c r="J59" s="82"/>
      <c r="K59" s="82"/>
      <c r="L59" s="99"/>
      <c r="M59" s="82"/>
      <c r="N59" s="82"/>
      <c r="O59" s="82"/>
      <c r="P59" s="82"/>
      <c r="Q59" s="86"/>
      <c r="R59" s="41"/>
      <c r="S59" s="1"/>
      <c r="T59" s="1"/>
    </row>
    <row r="60" spans="2:20" ht="15" customHeight="1" x14ac:dyDescent="0.2">
      <c r="B60" s="53" t="s">
        <v>65</v>
      </c>
      <c r="C60" s="82"/>
      <c r="D60" s="82"/>
      <c r="E60" s="82"/>
      <c r="F60" s="82"/>
      <c r="G60" s="99"/>
      <c r="H60" s="82"/>
      <c r="I60" s="82"/>
      <c r="J60" s="82"/>
      <c r="K60" s="82"/>
      <c r="L60" s="99"/>
      <c r="M60" s="82"/>
      <c r="N60" s="82"/>
      <c r="O60" s="82"/>
      <c r="P60" s="82"/>
      <c r="Q60" s="86"/>
      <c r="R60" s="41"/>
      <c r="S60" s="1"/>
      <c r="T60" s="1"/>
    </row>
    <row r="61" spans="2:20" ht="15" customHeight="1" x14ac:dyDescent="0.2">
      <c r="B61" s="53" t="s">
        <v>66</v>
      </c>
      <c r="C61" s="82"/>
      <c r="D61" s="82"/>
      <c r="E61" s="82"/>
      <c r="F61" s="82"/>
      <c r="G61" s="99"/>
      <c r="H61" s="82"/>
      <c r="I61" s="82"/>
      <c r="J61" s="82"/>
      <c r="K61" s="82"/>
      <c r="L61" s="99"/>
      <c r="M61" s="82"/>
      <c r="N61" s="82"/>
      <c r="O61" s="82"/>
      <c r="P61" s="82"/>
      <c r="Q61" s="86"/>
      <c r="R61" s="41"/>
      <c r="S61" s="1"/>
      <c r="T61" s="1"/>
    </row>
    <row r="62" spans="2:20" ht="15" customHeight="1" x14ac:dyDescent="0.2">
      <c r="B62" s="53" t="s">
        <v>68</v>
      </c>
      <c r="C62" s="82"/>
      <c r="D62" s="82"/>
      <c r="E62" s="82"/>
      <c r="F62" s="82"/>
      <c r="G62" s="99"/>
      <c r="H62" s="82"/>
      <c r="I62" s="82"/>
      <c r="J62" s="82"/>
      <c r="K62" s="82"/>
      <c r="L62" s="99"/>
      <c r="M62" s="82"/>
      <c r="N62" s="82"/>
      <c r="O62" s="82"/>
      <c r="P62" s="82"/>
      <c r="Q62" s="86"/>
      <c r="R62" s="41"/>
      <c r="S62" s="1"/>
      <c r="T62" s="1"/>
    </row>
    <row r="63" spans="2:20" ht="15" customHeight="1" x14ac:dyDescent="0.2">
      <c r="B63" s="53" t="s">
        <v>67</v>
      </c>
      <c r="C63" s="82"/>
      <c r="D63" s="82"/>
      <c r="E63" s="82"/>
      <c r="F63" s="82"/>
      <c r="G63" s="99"/>
      <c r="H63" s="82"/>
      <c r="I63" s="82"/>
      <c r="J63" s="82"/>
      <c r="K63" s="82"/>
      <c r="L63" s="99"/>
      <c r="M63" s="82"/>
      <c r="N63" s="82"/>
      <c r="O63" s="82"/>
      <c r="P63" s="82"/>
      <c r="Q63" s="86"/>
      <c r="R63" s="41"/>
      <c r="S63" s="1"/>
      <c r="T63" s="1"/>
    </row>
    <row r="64" spans="2:20" ht="15" customHeight="1" x14ac:dyDescent="0.2">
      <c r="B64" s="60" t="s">
        <v>115</v>
      </c>
      <c r="C64" s="29">
        <f t="shared" ref="C64:E64" si="31">SUM(C59:C63)</f>
        <v>0</v>
      </c>
      <c r="D64" s="29">
        <f t="shared" si="31"/>
        <v>0</v>
      </c>
      <c r="E64" s="29">
        <f t="shared" si="31"/>
        <v>0</v>
      </c>
      <c r="F64" s="29">
        <f t="shared" ref="F64" si="32">SUM(F59:F63)</f>
        <v>0</v>
      </c>
      <c r="G64" s="99"/>
      <c r="H64" s="29">
        <f t="shared" ref="H64:K64" si="33">SUM(H59:H63)</f>
        <v>0</v>
      </c>
      <c r="I64" s="29">
        <f t="shared" si="33"/>
        <v>0</v>
      </c>
      <c r="J64" s="29">
        <f t="shared" si="33"/>
        <v>0</v>
      </c>
      <c r="K64" s="29">
        <f t="shared" si="33"/>
        <v>0</v>
      </c>
      <c r="L64" s="99"/>
      <c r="M64" s="29">
        <f t="shared" ref="M64:P64" si="34">SUM(M59:M63)</f>
        <v>0</v>
      </c>
      <c r="N64" s="29">
        <f t="shared" si="34"/>
        <v>0</v>
      </c>
      <c r="O64" s="29">
        <f t="shared" si="34"/>
        <v>0</v>
      </c>
      <c r="P64" s="29">
        <f t="shared" si="34"/>
        <v>0</v>
      </c>
      <c r="Q64" s="86"/>
      <c r="R64" s="50"/>
      <c r="S64" s="1"/>
      <c r="T64" s="1"/>
    </row>
    <row r="65" spans="2:20" ht="15" customHeight="1" x14ac:dyDescent="0.2">
      <c r="B65" s="57" t="s">
        <v>13</v>
      </c>
      <c r="C65" s="19">
        <f>C64</f>
        <v>0</v>
      </c>
      <c r="D65" s="19">
        <f t="shared" ref="D65:E65" si="35">D64</f>
        <v>0</v>
      </c>
      <c r="E65" s="19">
        <f t="shared" si="35"/>
        <v>0</v>
      </c>
      <c r="F65" s="19">
        <f t="shared" ref="F65" si="36">F64</f>
        <v>0</v>
      </c>
      <c r="G65" s="99"/>
      <c r="H65" s="19">
        <f>H64</f>
        <v>0</v>
      </c>
      <c r="I65" s="19">
        <f t="shared" ref="I65:K65" si="37">I64</f>
        <v>0</v>
      </c>
      <c r="J65" s="19">
        <f t="shared" si="37"/>
        <v>0</v>
      </c>
      <c r="K65" s="19">
        <f t="shared" si="37"/>
        <v>0</v>
      </c>
      <c r="L65" s="99"/>
      <c r="M65" s="19">
        <f>M64</f>
        <v>0</v>
      </c>
      <c r="N65" s="19">
        <f t="shared" ref="N65:P65" si="38">N64</f>
        <v>0</v>
      </c>
      <c r="O65" s="19">
        <f t="shared" si="38"/>
        <v>0</v>
      </c>
      <c r="P65" s="19">
        <f t="shared" si="38"/>
        <v>0</v>
      </c>
      <c r="Q65" s="86"/>
      <c r="R65" s="49"/>
      <c r="S65" s="1"/>
      <c r="T65" s="1"/>
    </row>
    <row r="66" spans="2:20" ht="15" customHeight="1" x14ac:dyDescent="0.2">
      <c r="B66" s="56" t="s">
        <v>12</v>
      </c>
      <c r="C66" s="15">
        <f t="shared" ref="C66:E66" si="39">SUM(C56,C65)</f>
        <v>0</v>
      </c>
      <c r="D66" s="15">
        <f t="shared" si="39"/>
        <v>0</v>
      </c>
      <c r="E66" s="15">
        <f t="shared" si="39"/>
        <v>0</v>
      </c>
      <c r="F66" s="15">
        <f t="shared" ref="F66" si="40">SUM(F56,F65)</f>
        <v>0</v>
      </c>
      <c r="G66" s="99"/>
      <c r="H66" s="15">
        <f t="shared" ref="H66:K66" si="41">SUM(H56,H65)</f>
        <v>0</v>
      </c>
      <c r="I66" s="15">
        <f t="shared" si="41"/>
        <v>0</v>
      </c>
      <c r="J66" s="15">
        <f t="shared" si="41"/>
        <v>0</v>
      </c>
      <c r="K66" s="15">
        <f t="shared" si="41"/>
        <v>0</v>
      </c>
      <c r="L66" s="99"/>
      <c r="M66" s="15">
        <f t="shared" ref="M66:P66" si="42">SUM(M56,M65)</f>
        <v>0</v>
      </c>
      <c r="N66" s="15">
        <f t="shared" si="42"/>
        <v>0</v>
      </c>
      <c r="O66" s="15">
        <f t="shared" si="42"/>
        <v>0</v>
      </c>
      <c r="P66" s="15">
        <f t="shared" si="42"/>
        <v>0</v>
      </c>
      <c r="Q66" s="86"/>
      <c r="R66" s="49"/>
      <c r="S66" s="1"/>
      <c r="T66" s="1"/>
    </row>
    <row r="67" spans="2:20" ht="15" customHeight="1" x14ac:dyDescent="0.2">
      <c r="B67" s="26" t="s">
        <v>48</v>
      </c>
      <c r="C67" s="17" t="s">
        <v>5</v>
      </c>
      <c r="D67" s="17" t="s">
        <v>5</v>
      </c>
      <c r="E67" s="17" t="s">
        <v>5</v>
      </c>
      <c r="F67" s="17" t="s">
        <v>5</v>
      </c>
      <c r="G67" s="99"/>
      <c r="H67" s="17" t="s">
        <v>5</v>
      </c>
      <c r="I67" s="17" t="s">
        <v>5</v>
      </c>
      <c r="J67" s="17" t="s">
        <v>5</v>
      </c>
      <c r="K67" s="17" t="s">
        <v>5</v>
      </c>
      <c r="L67" s="99"/>
      <c r="M67" s="17" t="s">
        <v>5</v>
      </c>
      <c r="N67" s="17" t="s">
        <v>5</v>
      </c>
      <c r="O67" s="17" t="s">
        <v>5</v>
      </c>
      <c r="P67" s="17" t="s">
        <v>5</v>
      </c>
      <c r="Q67" s="86"/>
      <c r="R67" s="41"/>
      <c r="S67" s="1"/>
      <c r="T67" s="1"/>
    </row>
    <row r="68" spans="2:20" ht="15" customHeight="1" x14ac:dyDescent="0.2">
      <c r="B68" s="26" t="s">
        <v>11</v>
      </c>
      <c r="C68" s="17" t="s">
        <v>5</v>
      </c>
      <c r="D68" s="17" t="s">
        <v>5</v>
      </c>
      <c r="E68" s="17" t="s">
        <v>5</v>
      </c>
      <c r="F68" s="17" t="s">
        <v>5</v>
      </c>
      <c r="G68" s="99"/>
      <c r="H68" s="17" t="s">
        <v>5</v>
      </c>
      <c r="I68" s="17" t="s">
        <v>5</v>
      </c>
      <c r="J68" s="17" t="s">
        <v>5</v>
      </c>
      <c r="K68" s="17" t="s">
        <v>5</v>
      </c>
      <c r="L68" s="99"/>
      <c r="M68" s="17" t="s">
        <v>5</v>
      </c>
      <c r="N68" s="17" t="s">
        <v>5</v>
      </c>
      <c r="O68" s="17" t="s">
        <v>5</v>
      </c>
      <c r="P68" s="17" t="s">
        <v>5</v>
      </c>
      <c r="Q68" s="86"/>
      <c r="R68" s="41"/>
      <c r="S68" s="1"/>
      <c r="T68" s="1"/>
    </row>
    <row r="69" spans="2:20" ht="15" customHeight="1" x14ac:dyDescent="0.2">
      <c r="B69" s="27" t="s">
        <v>49</v>
      </c>
      <c r="C69" s="17" t="s">
        <v>5</v>
      </c>
      <c r="D69" s="17" t="s">
        <v>5</v>
      </c>
      <c r="E69" s="17" t="s">
        <v>5</v>
      </c>
      <c r="F69" s="17" t="s">
        <v>5</v>
      </c>
      <c r="G69" s="99"/>
      <c r="H69" s="17" t="s">
        <v>5</v>
      </c>
      <c r="I69" s="17" t="s">
        <v>5</v>
      </c>
      <c r="J69" s="17" t="s">
        <v>5</v>
      </c>
      <c r="K69" s="17" t="s">
        <v>5</v>
      </c>
      <c r="L69" s="99"/>
      <c r="M69" s="17" t="s">
        <v>5</v>
      </c>
      <c r="N69" s="17" t="s">
        <v>5</v>
      </c>
      <c r="O69" s="17" t="s">
        <v>5</v>
      </c>
      <c r="P69" s="17" t="s">
        <v>5</v>
      </c>
      <c r="Q69" s="86"/>
      <c r="R69" s="41"/>
      <c r="S69" s="1"/>
      <c r="T69" s="1"/>
    </row>
    <row r="70" spans="2:20" ht="30" x14ac:dyDescent="0.2">
      <c r="B70" s="78" t="s">
        <v>83</v>
      </c>
      <c r="C70" s="82"/>
      <c r="D70" s="82"/>
      <c r="E70" s="82"/>
      <c r="F70" s="82"/>
      <c r="G70" s="99"/>
      <c r="H70" s="82"/>
      <c r="I70" s="82"/>
      <c r="J70" s="82"/>
      <c r="K70" s="82"/>
      <c r="L70" s="99"/>
      <c r="M70" s="82"/>
      <c r="N70" s="82"/>
      <c r="O70" s="82"/>
      <c r="P70" s="82"/>
      <c r="Q70" s="86"/>
      <c r="R70" s="43"/>
      <c r="S70" s="1"/>
      <c r="T70" s="1"/>
    </row>
    <row r="71" spans="2:20" ht="15" customHeight="1" x14ac:dyDescent="0.2">
      <c r="B71" s="57" t="s">
        <v>50</v>
      </c>
      <c r="C71" s="19">
        <f t="shared" ref="C71:E71" si="43">SUM(C70:C70)</f>
        <v>0</v>
      </c>
      <c r="D71" s="19">
        <f t="shared" si="43"/>
        <v>0</v>
      </c>
      <c r="E71" s="19">
        <f t="shared" si="43"/>
        <v>0</v>
      </c>
      <c r="F71" s="19">
        <f t="shared" ref="F71" si="44">SUM(F70:F70)</f>
        <v>0</v>
      </c>
      <c r="G71" s="99"/>
      <c r="H71" s="19">
        <f t="shared" ref="H71:K71" si="45">SUM(H70:H70)</f>
        <v>0</v>
      </c>
      <c r="I71" s="19">
        <f t="shared" si="45"/>
        <v>0</v>
      </c>
      <c r="J71" s="19">
        <f t="shared" si="45"/>
        <v>0</v>
      </c>
      <c r="K71" s="19">
        <f t="shared" si="45"/>
        <v>0</v>
      </c>
      <c r="L71" s="99"/>
      <c r="M71" s="19">
        <f t="shared" ref="M71:P71" si="46">SUM(M70:M70)</f>
        <v>0</v>
      </c>
      <c r="N71" s="19">
        <f t="shared" si="46"/>
        <v>0</v>
      </c>
      <c r="O71" s="19">
        <f t="shared" si="46"/>
        <v>0</v>
      </c>
      <c r="P71" s="19">
        <f t="shared" si="46"/>
        <v>0</v>
      </c>
      <c r="Q71" s="86"/>
      <c r="R71" s="49"/>
      <c r="S71" s="1"/>
      <c r="T71" s="1"/>
    </row>
    <row r="72" spans="2:20" ht="15" customHeight="1" x14ac:dyDescent="0.2">
      <c r="B72" s="27" t="s">
        <v>9</v>
      </c>
      <c r="C72" s="17"/>
      <c r="D72" s="17"/>
      <c r="E72" s="17"/>
      <c r="F72" s="17"/>
      <c r="G72" s="99"/>
      <c r="H72" s="17"/>
      <c r="I72" s="17"/>
      <c r="J72" s="17"/>
      <c r="K72" s="17"/>
      <c r="L72" s="99"/>
      <c r="M72" s="17"/>
      <c r="N72" s="17"/>
      <c r="O72" s="17"/>
      <c r="P72" s="17"/>
      <c r="Q72" s="86"/>
      <c r="R72" s="41"/>
      <c r="S72" s="1"/>
      <c r="T72" s="1"/>
    </row>
    <row r="73" spans="2:20" ht="15" customHeight="1" x14ac:dyDescent="0.2">
      <c r="B73" s="28" t="s">
        <v>82</v>
      </c>
      <c r="C73" s="82"/>
      <c r="D73" s="82"/>
      <c r="E73" s="82"/>
      <c r="F73" s="82"/>
      <c r="G73" s="99"/>
      <c r="H73" s="82"/>
      <c r="I73" s="82"/>
      <c r="J73" s="82"/>
      <c r="K73" s="82"/>
      <c r="L73" s="99"/>
      <c r="M73" s="82"/>
      <c r="N73" s="82"/>
      <c r="O73" s="82"/>
      <c r="P73" s="82"/>
      <c r="Q73" s="86"/>
      <c r="R73" s="41"/>
      <c r="S73" s="1"/>
      <c r="T73" s="1"/>
    </row>
    <row r="74" spans="2:20" ht="15" customHeight="1" x14ac:dyDescent="0.2">
      <c r="B74" s="57" t="s">
        <v>10</v>
      </c>
      <c r="C74" s="19">
        <f>C73</f>
        <v>0</v>
      </c>
      <c r="D74" s="19">
        <f t="shared" ref="D74:E74" si="47">D73</f>
        <v>0</v>
      </c>
      <c r="E74" s="19">
        <f t="shared" si="47"/>
        <v>0</v>
      </c>
      <c r="F74" s="19">
        <f t="shared" ref="F74" si="48">F73</f>
        <v>0</v>
      </c>
      <c r="G74" s="99"/>
      <c r="H74" s="19">
        <f>H73</f>
        <v>0</v>
      </c>
      <c r="I74" s="19">
        <f t="shared" ref="I74:K74" si="49">I73</f>
        <v>0</v>
      </c>
      <c r="J74" s="19">
        <f t="shared" si="49"/>
        <v>0</v>
      </c>
      <c r="K74" s="19">
        <f t="shared" si="49"/>
        <v>0</v>
      </c>
      <c r="L74" s="99"/>
      <c r="M74" s="19">
        <f>M73</f>
        <v>0</v>
      </c>
      <c r="N74" s="19">
        <f t="shared" ref="N74:P74" si="50">N73</f>
        <v>0</v>
      </c>
      <c r="O74" s="19">
        <f t="shared" si="50"/>
        <v>0</v>
      </c>
      <c r="P74" s="19">
        <f t="shared" si="50"/>
        <v>0</v>
      </c>
      <c r="Q74" s="86"/>
      <c r="R74" s="49"/>
      <c r="S74" s="1"/>
      <c r="T74" s="1"/>
    </row>
    <row r="75" spans="2:20" ht="15" customHeight="1" x14ac:dyDescent="0.2">
      <c r="B75" s="61" t="s">
        <v>8</v>
      </c>
      <c r="C75" s="31">
        <f>SUM(C71,C74)</f>
        <v>0</v>
      </c>
      <c r="D75" s="31">
        <f t="shared" ref="D75:E75" si="51">SUM(D71,D74)</f>
        <v>0</v>
      </c>
      <c r="E75" s="31">
        <f t="shared" si="51"/>
        <v>0</v>
      </c>
      <c r="F75" s="31">
        <f t="shared" ref="F75" si="52">SUM(F71,F74)</f>
        <v>0</v>
      </c>
      <c r="G75" s="99"/>
      <c r="H75" s="31">
        <f>SUM(H71,H74)</f>
        <v>0</v>
      </c>
      <c r="I75" s="31">
        <f t="shared" ref="I75:K75" si="53">SUM(I71,I74)</f>
        <v>0</v>
      </c>
      <c r="J75" s="31">
        <f t="shared" si="53"/>
        <v>0</v>
      </c>
      <c r="K75" s="31">
        <f t="shared" si="53"/>
        <v>0</v>
      </c>
      <c r="L75" s="99"/>
      <c r="M75" s="31">
        <f>SUM(M71,M74)</f>
        <v>0</v>
      </c>
      <c r="N75" s="31">
        <f t="shared" ref="N75:P75" si="54">SUM(N71,N74)</f>
        <v>0</v>
      </c>
      <c r="O75" s="31">
        <f t="shared" si="54"/>
        <v>0</v>
      </c>
      <c r="P75" s="31">
        <f t="shared" si="54"/>
        <v>0</v>
      </c>
      <c r="Q75" s="86"/>
      <c r="R75" s="49"/>
      <c r="S75" s="1"/>
      <c r="T75" s="1"/>
    </row>
    <row r="76" spans="2:20" ht="15" customHeight="1" x14ac:dyDescent="0.2">
      <c r="B76" s="26" t="s">
        <v>51</v>
      </c>
      <c r="C76" s="17" t="s">
        <v>5</v>
      </c>
      <c r="D76" s="17" t="s">
        <v>5</v>
      </c>
      <c r="E76" s="17" t="s">
        <v>5</v>
      </c>
      <c r="F76" s="17" t="s">
        <v>5</v>
      </c>
      <c r="G76" s="99"/>
      <c r="H76" s="17" t="s">
        <v>5</v>
      </c>
      <c r="I76" s="17" t="s">
        <v>5</v>
      </c>
      <c r="J76" s="17" t="s">
        <v>5</v>
      </c>
      <c r="K76" s="17" t="s">
        <v>5</v>
      </c>
      <c r="L76" s="99"/>
      <c r="M76" s="17" t="s">
        <v>5</v>
      </c>
      <c r="N76" s="17" t="s">
        <v>5</v>
      </c>
      <c r="O76" s="17" t="s">
        <v>5</v>
      </c>
      <c r="P76" s="17" t="s">
        <v>5</v>
      </c>
      <c r="Q76" s="86"/>
      <c r="R76" s="41"/>
      <c r="S76" s="1"/>
      <c r="T76" s="1"/>
    </row>
    <row r="77" spans="2:20" ht="15" customHeight="1" x14ac:dyDescent="0.2">
      <c r="B77" s="16" t="s">
        <v>52</v>
      </c>
      <c r="C77" s="82"/>
      <c r="D77" s="82"/>
      <c r="E77" s="82"/>
      <c r="F77" s="82"/>
      <c r="G77" s="99"/>
      <c r="H77" s="82"/>
      <c r="I77" s="82"/>
      <c r="J77" s="82"/>
      <c r="K77" s="82"/>
      <c r="L77" s="99"/>
      <c r="M77" s="82"/>
      <c r="N77" s="82"/>
      <c r="O77" s="82"/>
      <c r="P77" s="82"/>
      <c r="Q77" s="86"/>
      <c r="R77" s="41"/>
      <c r="S77" s="1"/>
      <c r="T77" s="1"/>
    </row>
    <row r="78" spans="2:20" ht="15" customHeight="1" x14ac:dyDescent="0.2">
      <c r="B78" s="16" t="s">
        <v>53</v>
      </c>
      <c r="C78" s="82"/>
      <c r="D78" s="82"/>
      <c r="E78" s="82"/>
      <c r="F78" s="82"/>
      <c r="G78" s="99"/>
      <c r="H78" s="82"/>
      <c r="I78" s="82"/>
      <c r="J78" s="82"/>
      <c r="K78" s="82"/>
      <c r="L78" s="99"/>
      <c r="M78" s="82"/>
      <c r="N78" s="82"/>
      <c r="O78" s="82"/>
      <c r="P78" s="82"/>
      <c r="Q78" s="86"/>
      <c r="R78" s="41"/>
      <c r="S78" s="1"/>
      <c r="T78" s="1"/>
    </row>
    <row r="79" spans="2:20" ht="15" customHeight="1" x14ac:dyDescent="0.2">
      <c r="B79" s="18" t="s">
        <v>54</v>
      </c>
      <c r="C79" s="19">
        <f>SUM(C77:C78)</f>
        <v>0</v>
      </c>
      <c r="D79" s="19">
        <f t="shared" ref="D79:E79" si="55">SUM(D77:D78)</f>
        <v>0</v>
      </c>
      <c r="E79" s="19">
        <f t="shared" si="55"/>
        <v>0</v>
      </c>
      <c r="F79" s="19">
        <f t="shared" ref="F79" si="56">SUM(F77:F78)</f>
        <v>0</v>
      </c>
      <c r="G79" s="99"/>
      <c r="H79" s="19">
        <f>SUM(H77:H78)</f>
        <v>0</v>
      </c>
      <c r="I79" s="19">
        <f t="shared" ref="I79:K79" si="57">SUM(I77:I78)</f>
        <v>0</v>
      </c>
      <c r="J79" s="19">
        <f t="shared" si="57"/>
        <v>0</v>
      </c>
      <c r="K79" s="19">
        <f t="shared" si="57"/>
        <v>0</v>
      </c>
      <c r="L79" s="99"/>
      <c r="M79" s="19">
        <f>SUM(M77:M78)</f>
        <v>0</v>
      </c>
      <c r="N79" s="19">
        <f t="shared" ref="N79:P79" si="58">SUM(N77:N78)</f>
        <v>0</v>
      </c>
      <c r="O79" s="19">
        <f t="shared" si="58"/>
        <v>0</v>
      </c>
      <c r="P79" s="19">
        <f t="shared" si="58"/>
        <v>0</v>
      </c>
      <c r="Q79" s="86"/>
      <c r="R79" s="49"/>
      <c r="S79" s="1"/>
      <c r="T79" s="1"/>
    </row>
    <row r="80" spans="2:20" ht="15" customHeight="1" x14ac:dyDescent="0.2">
      <c r="B80" s="56" t="s">
        <v>55</v>
      </c>
      <c r="C80" s="15">
        <f>SUM(C75,C79)</f>
        <v>0</v>
      </c>
      <c r="D80" s="15">
        <f t="shared" ref="D80:E80" si="59">SUM(D75,D79)</f>
        <v>0</v>
      </c>
      <c r="E80" s="15">
        <f t="shared" si="59"/>
        <v>0</v>
      </c>
      <c r="F80" s="15">
        <f t="shared" ref="F80" si="60">SUM(F75,F79)</f>
        <v>0</v>
      </c>
      <c r="G80" s="99"/>
      <c r="H80" s="15">
        <f>SUM(H75,H79)</f>
        <v>0</v>
      </c>
      <c r="I80" s="15">
        <f t="shared" ref="I80:K80" si="61">SUM(I75,I79)</f>
        <v>0</v>
      </c>
      <c r="J80" s="15">
        <f t="shared" si="61"/>
        <v>0</v>
      </c>
      <c r="K80" s="15">
        <f t="shared" si="61"/>
        <v>0</v>
      </c>
      <c r="L80" s="99"/>
      <c r="M80" s="15">
        <f>SUM(M75,M79)</f>
        <v>0</v>
      </c>
      <c r="N80" s="15">
        <f t="shared" ref="N80:P80" si="62">SUM(N75,N79)</f>
        <v>0</v>
      </c>
      <c r="O80" s="15">
        <f t="shared" si="62"/>
        <v>0</v>
      </c>
      <c r="P80" s="15">
        <f t="shared" si="62"/>
        <v>0</v>
      </c>
      <c r="Q80" s="86"/>
      <c r="R80" s="49"/>
      <c r="S80" s="1"/>
      <c r="T80" s="1"/>
    </row>
    <row r="81" spans="2:20" ht="15" customHeight="1" x14ac:dyDescent="0.2">
      <c r="B81" s="62" t="s">
        <v>74</v>
      </c>
      <c r="C81" s="32">
        <f t="shared" ref="C81:F81" si="63">C66-C80</f>
        <v>0</v>
      </c>
      <c r="D81" s="32">
        <f t="shared" si="63"/>
        <v>0</v>
      </c>
      <c r="E81" s="32">
        <f t="shared" si="63"/>
        <v>0</v>
      </c>
      <c r="F81" s="32">
        <f t="shared" si="63"/>
        <v>0</v>
      </c>
      <c r="H81" s="32">
        <f t="shared" ref="H81:K81" si="64">H66-H80</f>
        <v>0</v>
      </c>
      <c r="I81" s="32">
        <f t="shared" si="64"/>
        <v>0</v>
      </c>
      <c r="J81" s="32">
        <f t="shared" si="64"/>
        <v>0</v>
      </c>
      <c r="K81" s="32">
        <f t="shared" si="64"/>
        <v>0</v>
      </c>
      <c r="M81" s="32">
        <f t="shared" ref="M81:P81" si="65">M66-M80</f>
        <v>0</v>
      </c>
      <c r="N81" s="32">
        <f t="shared" si="65"/>
        <v>0</v>
      </c>
      <c r="O81" s="32">
        <f t="shared" si="65"/>
        <v>0</v>
      </c>
      <c r="P81" s="32">
        <f t="shared" si="65"/>
        <v>0</v>
      </c>
      <c r="R81" s="51"/>
      <c r="S81" s="51"/>
      <c r="T81" s="51"/>
    </row>
    <row r="82" spans="2:20" ht="15" customHeight="1" x14ac:dyDescent="0.2"/>
    <row r="83" spans="2:20" ht="15" customHeight="1" x14ac:dyDescent="0.2">
      <c r="B83" s="12" t="s">
        <v>84</v>
      </c>
      <c r="E83" s="10"/>
      <c r="F83" s="10"/>
      <c r="J83" s="10"/>
      <c r="K83" s="10"/>
      <c r="O83" s="10"/>
      <c r="P83" s="10"/>
    </row>
    <row r="84" spans="2:20" ht="15" customHeight="1" x14ac:dyDescent="0.2">
      <c r="B84" s="24"/>
      <c r="C84" s="91">
        <f>C49</f>
        <v>0</v>
      </c>
      <c r="D84" s="91">
        <f>D49</f>
        <v>1</v>
      </c>
      <c r="E84" s="91">
        <f>E49</f>
        <v>2</v>
      </c>
      <c r="F84" s="91">
        <f>F49</f>
        <v>3</v>
      </c>
      <c r="G84" s="99"/>
      <c r="H84" s="91">
        <f>H49</f>
        <v>0</v>
      </c>
      <c r="I84" s="91">
        <f>I49</f>
        <v>1</v>
      </c>
      <c r="J84" s="91">
        <f>J49</f>
        <v>2</v>
      </c>
      <c r="K84" s="91">
        <f>K49</f>
        <v>3</v>
      </c>
      <c r="L84" s="99"/>
      <c r="M84" s="91">
        <f>M49</f>
        <v>0</v>
      </c>
      <c r="N84" s="91">
        <f>N49</f>
        <v>1</v>
      </c>
      <c r="O84" s="91">
        <f>O49</f>
        <v>2</v>
      </c>
      <c r="P84" s="91">
        <f>P49</f>
        <v>3</v>
      </c>
      <c r="Q84" s="86"/>
    </row>
    <row r="85" spans="2:20" ht="15" customHeight="1" x14ac:dyDescent="0.2">
      <c r="B85" s="26" t="s">
        <v>2</v>
      </c>
      <c r="C85" s="88"/>
      <c r="D85" s="72"/>
      <c r="E85" s="72"/>
      <c r="F85" s="72"/>
      <c r="G85" s="99"/>
      <c r="H85" s="88"/>
      <c r="I85" s="72"/>
      <c r="J85" s="72"/>
      <c r="K85" s="72"/>
      <c r="L85" s="99"/>
      <c r="M85" s="88"/>
      <c r="N85" s="72"/>
      <c r="O85" s="72"/>
      <c r="P85" s="72"/>
      <c r="Q85" s="86"/>
    </row>
    <row r="86" spans="2:20" ht="15" customHeight="1" x14ac:dyDescent="0.2">
      <c r="B86" s="27" t="s">
        <v>7</v>
      </c>
      <c r="C86" s="63"/>
      <c r="D86" s="63"/>
      <c r="E86" s="63"/>
      <c r="F86" s="63"/>
      <c r="G86" s="99"/>
      <c r="H86" s="63"/>
      <c r="I86" s="63"/>
      <c r="J86" s="63"/>
      <c r="K86" s="63"/>
      <c r="L86" s="99"/>
      <c r="M86" s="63"/>
      <c r="N86" s="63"/>
      <c r="O86" s="63"/>
      <c r="P86" s="63"/>
      <c r="Q86" s="86"/>
    </row>
    <row r="87" spans="2:20" ht="15" customHeight="1" x14ac:dyDescent="0.2">
      <c r="B87" s="28" t="s">
        <v>3</v>
      </c>
      <c r="C87" s="71" t="str">
        <f t="shared" ref="C87:F91" si="66">IFERROR(C52/C$66,"n/a")</f>
        <v>n/a</v>
      </c>
      <c r="D87" s="71" t="str">
        <f t="shared" si="66"/>
        <v>n/a</v>
      </c>
      <c r="E87" s="71" t="str">
        <f t="shared" si="66"/>
        <v>n/a</v>
      </c>
      <c r="F87" s="71" t="str">
        <f t="shared" si="66"/>
        <v>n/a</v>
      </c>
      <c r="G87" s="99"/>
      <c r="H87" s="71" t="str">
        <f t="shared" ref="H87:K91" si="67">IFERROR(H52/H$66,"n/a")</f>
        <v>n/a</v>
      </c>
      <c r="I87" s="71" t="str">
        <f t="shared" si="67"/>
        <v>n/a</v>
      </c>
      <c r="J87" s="71" t="str">
        <f t="shared" si="67"/>
        <v>n/a</v>
      </c>
      <c r="K87" s="71" t="str">
        <f t="shared" si="67"/>
        <v>n/a</v>
      </c>
      <c r="L87" s="99"/>
      <c r="M87" s="71" t="str">
        <f t="shared" ref="M87:P91" si="68">IFERROR(M52/M$66,"n/a")</f>
        <v>n/a</v>
      </c>
      <c r="N87" s="71" t="str">
        <f t="shared" si="68"/>
        <v>n/a</v>
      </c>
      <c r="O87" s="71" t="str">
        <f t="shared" si="68"/>
        <v>n/a</v>
      </c>
      <c r="P87" s="71" t="str">
        <f t="shared" si="68"/>
        <v>n/a</v>
      </c>
      <c r="Q87" s="86"/>
    </row>
    <row r="88" spans="2:20" ht="15" customHeight="1" x14ac:dyDescent="0.2">
      <c r="B88" s="28" t="s">
        <v>45</v>
      </c>
      <c r="C88" s="71" t="str">
        <f t="shared" si="66"/>
        <v>n/a</v>
      </c>
      <c r="D88" s="71" t="str">
        <f t="shared" si="66"/>
        <v>n/a</v>
      </c>
      <c r="E88" s="71" t="str">
        <f t="shared" si="66"/>
        <v>n/a</v>
      </c>
      <c r="F88" s="71" t="str">
        <f t="shared" si="66"/>
        <v>n/a</v>
      </c>
      <c r="G88" s="99"/>
      <c r="H88" s="71" t="str">
        <f t="shared" si="67"/>
        <v>n/a</v>
      </c>
      <c r="I88" s="71" t="str">
        <f t="shared" si="67"/>
        <v>n/a</v>
      </c>
      <c r="J88" s="71" t="str">
        <f t="shared" si="67"/>
        <v>n/a</v>
      </c>
      <c r="K88" s="71" t="str">
        <f t="shared" si="67"/>
        <v>n/a</v>
      </c>
      <c r="L88" s="99"/>
      <c r="M88" s="71" t="str">
        <f t="shared" si="68"/>
        <v>n/a</v>
      </c>
      <c r="N88" s="71" t="str">
        <f t="shared" si="68"/>
        <v>n/a</v>
      </c>
      <c r="O88" s="71" t="str">
        <f t="shared" si="68"/>
        <v>n/a</v>
      </c>
      <c r="P88" s="71" t="str">
        <f t="shared" si="68"/>
        <v>n/a</v>
      </c>
      <c r="Q88" s="86"/>
    </row>
    <row r="89" spans="2:20" ht="15" customHeight="1" x14ac:dyDescent="0.2">
      <c r="B89" s="28" t="s">
        <v>71</v>
      </c>
      <c r="C89" s="71" t="str">
        <f t="shared" si="66"/>
        <v>n/a</v>
      </c>
      <c r="D89" s="71" t="str">
        <f t="shared" si="66"/>
        <v>n/a</v>
      </c>
      <c r="E89" s="71" t="str">
        <f t="shared" si="66"/>
        <v>n/a</v>
      </c>
      <c r="F89" s="71" t="str">
        <f t="shared" si="66"/>
        <v>n/a</v>
      </c>
      <c r="G89" s="99"/>
      <c r="H89" s="71" t="str">
        <f t="shared" si="67"/>
        <v>n/a</v>
      </c>
      <c r="I89" s="71" t="str">
        <f t="shared" si="67"/>
        <v>n/a</v>
      </c>
      <c r="J89" s="71" t="str">
        <f t="shared" si="67"/>
        <v>n/a</v>
      </c>
      <c r="K89" s="71" t="str">
        <f t="shared" si="67"/>
        <v>n/a</v>
      </c>
      <c r="L89" s="99"/>
      <c r="M89" s="71" t="str">
        <f t="shared" si="68"/>
        <v>n/a</v>
      </c>
      <c r="N89" s="71" t="str">
        <f t="shared" si="68"/>
        <v>n/a</v>
      </c>
      <c r="O89" s="71" t="str">
        <f t="shared" si="68"/>
        <v>n/a</v>
      </c>
      <c r="P89" s="71" t="str">
        <f t="shared" si="68"/>
        <v>n/a</v>
      </c>
      <c r="Q89" s="86"/>
    </row>
    <row r="90" spans="2:20" ht="15" customHeight="1" x14ac:dyDescent="0.2">
      <c r="B90" s="28" t="s">
        <v>46</v>
      </c>
      <c r="C90" s="73" t="str">
        <f t="shared" si="66"/>
        <v>n/a</v>
      </c>
      <c r="D90" s="73" t="str">
        <f t="shared" si="66"/>
        <v>n/a</v>
      </c>
      <c r="E90" s="73" t="str">
        <f t="shared" si="66"/>
        <v>n/a</v>
      </c>
      <c r="F90" s="73" t="str">
        <f t="shared" si="66"/>
        <v>n/a</v>
      </c>
      <c r="G90" s="99"/>
      <c r="H90" s="73" t="str">
        <f t="shared" si="67"/>
        <v>n/a</v>
      </c>
      <c r="I90" s="73" t="str">
        <f t="shared" si="67"/>
        <v>n/a</v>
      </c>
      <c r="J90" s="73" t="str">
        <f t="shared" si="67"/>
        <v>n/a</v>
      </c>
      <c r="K90" s="73" t="str">
        <f t="shared" si="67"/>
        <v>n/a</v>
      </c>
      <c r="L90" s="99"/>
      <c r="M90" s="73" t="str">
        <f t="shared" si="68"/>
        <v>n/a</v>
      </c>
      <c r="N90" s="73" t="str">
        <f t="shared" si="68"/>
        <v>n/a</v>
      </c>
      <c r="O90" s="73" t="str">
        <f t="shared" si="68"/>
        <v>n/a</v>
      </c>
      <c r="P90" s="73" t="str">
        <f t="shared" si="68"/>
        <v>n/a</v>
      </c>
      <c r="Q90" s="86"/>
    </row>
    <row r="91" spans="2:20" ht="15" customHeight="1" x14ac:dyDescent="0.2">
      <c r="B91" s="57" t="s">
        <v>47</v>
      </c>
      <c r="C91" s="74" t="str">
        <f t="shared" si="66"/>
        <v>n/a</v>
      </c>
      <c r="D91" s="74" t="str">
        <f t="shared" si="66"/>
        <v>n/a</v>
      </c>
      <c r="E91" s="74" t="str">
        <f t="shared" si="66"/>
        <v>n/a</v>
      </c>
      <c r="F91" s="74" t="str">
        <f t="shared" si="66"/>
        <v>n/a</v>
      </c>
      <c r="G91" s="99"/>
      <c r="H91" s="74" t="str">
        <f t="shared" si="67"/>
        <v>n/a</v>
      </c>
      <c r="I91" s="74" t="str">
        <f t="shared" si="67"/>
        <v>n/a</v>
      </c>
      <c r="J91" s="74" t="str">
        <f t="shared" si="67"/>
        <v>n/a</v>
      </c>
      <c r="K91" s="74" t="str">
        <f t="shared" si="67"/>
        <v>n/a</v>
      </c>
      <c r="L91" s="99"/>
      <c r="M91" s="74" t="str">
        <f t="shared" si="68"/>
        <v>n/a</v>
      </c>
      <c r="N91" s="74" t="str">
        <f t="shared" si="68"/>
        <v>n/a</v>
      </c>
      <c r="O91" s="74" t="str">
        <f t="shared" si="68"/>
        <v>n/a</v>
      </c>
      <c r="P91" s="74" t="str">
        <f t="shared" si="68"/>
        <v>n/a</v>
      </c>
      <c r="Q91" s="86"/>
    </row>
    <row r="92" spans="2:20" ht="15" customHeight="1" x14ac:dyDescent="0.2">
      <c r="B92" s="27" t="s">
        <v>112</v>
      </c>
      <c r="C92" s="71"/>
      <c r="D92" s="71"/>
      <c r="E92" s="71"/>
      <c r="F92" s="71"/>
      <c r="G92" s="99"/>
      <c r="H92" s="71"/>
      <c r="I92" s="71"/>
      <c r="J92" s="71"/>
      <c r="K92" s="71"/>
      <c r="L92" s="99"/>
      <c r="M92" s="71"/>
      <c r="N92" s="71"/>
      <c r="O92" s="71"/>
      <c r="P92" s="71"/>
      <c r="Q92" s="86"/>
    </row>
    <row r="93" spans="2:20" ht="15" customHeight="1" x14ac:dyDescent="0.2">
      <c r="B93" s="60" t="s">
        <v>79</v>
      </c>
      <c r="C93" s="71"/>
      <c r="D93" s="71"/>
      <c r="E93" s="71"/>
      <c r="F93" s="71"/>
      <c r="G93" s="99"/>
      <c r="H93" s="71"/>
      <c r="I93" s="71"/>
      <c r="J93" s="71"/>
      <c r="K93" s="71"/>
      <c r="L93" s="99"/>
      <c r="M93" s="71"/>
      <c r="N93" s="71"/>
      <c r="O93" s="71"/>
      <c r="P93" s="71"/>
      <c r="Q93" s="86"/>
    </row>
    <row r="94" spans="2:20" ht="15" customHeight="1" x14ac:dyDescent="0.2">
      <c r="B94" s="53" t="s">
        <v>4</v>
      </c>
      <c r="C94" s="71" t="str">
        <f t="shared" ref="C94:F101" si="69">IFERROR(C59/C$66,"n/a")</f>
        <v>n/a</v>
      </c>
      <c r="D94" s="71" t="str">
        <f t="shared" si="69"/>
        <v>n/a</v>
      </c>
      <c r="E94" s="71" t="str">
        <f t="shared" si="69"/>
        <v>n/a</v>
      </c>
      <c r="F94" s="71" t="str">
        <f t="shared" si="69"/>
        <v>n/a</v>
      </c>
      <c r="G94" s="99"/>
      <c r="H94" s="71" t="str">
        <f t="shared" ref="H94:K101" si="70">IFERROR(H59/H$66,"n/a")</f>
        <v>n/a</v>
      </c>
      <c r="I94" s="71" t="str">
        <f t="shared" si="70"/>
        <v>n/a</v>
      </c>
      <c r="J94" s="71" t="str">
        <f t="shared" si="70"/>
        <v>n/a</v>
      </c>
      <c r="K94" s="71" t="str">
        <f t="shared" si="70"/>
        <v>n/a</v>
      </c>
      <c r="L94" s="99"/>
      <c r="M94" s="71" t="str">
        <f t="shared" ref="M94:P101" si="71">IFERROR(M59/M$66,"n/a")</f>
        <v>n/a</v>
      </c>
      <c r="N94" s="71" t="str">
        <f t="shared" si="71"/>
        <v>n/a</v>
      </c>
      <c r="O94" s="71" t="str">
        <f t="shared" si="71"/>
        <v>n/a</v>
      </c>
      <c r="P94" s="71" t="str">
        <f t="shared" si="71"/>
        <v>n/a</v>
      </c>
      <c r="Q94" s="86"/>
    </row>
    <row r="95" spans="2:20" ht="15" customHeight="1" x14ac:dyDescent="0.2">
      <c r="B95" s="53" t="s">
        <v>65</v>
      </c>
      <c r="C95" s="71" t="str">
        <f t="shared" si="69"/>
        <v>n/a</v>
      </c>
      <c r="D95" s="71" t="str">
        <f t="shared" si="69"/>
        <v>n/a</v>
      </c>
      <c r="E95" s="71" t="str">
        <f t="shared" si="69"/>
        <v>n/a</v>
      </c>
      <c r="F95" s="71" t="str">
        <f t="shared" si="69"/>
        <v>n/a</v>
      </c>
      <c r="G95" s="99"/>
      <c r="H95" s="71" t="str">
        <f t="shared" si="70"/>
        <v>n/a</v>
      </c>
      <c r="I95" s="71" t="str">
        <f t="shared" si="70"/>
        <v>n/a</v>
      </c>
      <c r="J95" s="71" t="str">
        <f t="shared" si="70"/>
        <v>n/a</v>
      </c>
      <c r="K95" s="71" t="str">
        <f t="shared" si="70"/>
        <v>n/a</v>
      </c>
      <c r="L95" s="99"/>
      <c r="M95" s="71" t="str">
        <f t="shared" si="71"/>
        <v>n/a</v>
      </c>
      <c r="N95" s="71" t="str">
        <f t="shared" si="71"/>
        <v>n/a</v>
      </c>
      <c r="O95" s="71" t="str">
        <f t="shared" si="71"/>
        <v>n/a</v>
      </c>
      <c r="P95" s="71" t="str">
        <f t="shared" si="71"/>
        <v>n/a</v>
      </c>
      <c r="Q95" s="86"/>
    </row>
    <row r="96" spans="2:20" ht="15" customHeight="1" x14ac:dyDescent="0.2">
      <c r="B96" s="53" t="s">
        <v>66</v>
      </c>
      <c r="C96" s="71" t="str">
        <f t="shared" si="69"/>
        <v>n/a</v>
      </c>
      <c r="D96" s="71" t="str">
        <f t="shared" si="69"/>
        <v>n/a</v>
      </c>
      <c r="E96" s="71" t="str">
        <f t="shared" si="69"/>
        <v>n/a</v>
      </c>
      <c r="F96" s="71" t="str">
        <f t="shared" si="69"/>
        <v>n/a</v>
      </c>
      <c r="G96" s="99"/>
      <c r="H96" s="71" t="str">
        <f t="shared" si="70"/>
        <v>n/a</v>
      </c>
      <c r="I96" s="71" t="str">
        <f t="shared" si="70"/>
        <v>n/a</v>
      </c>
      <c r="J96" s="71" t="str">
        <f t="shared" si="70"/>
        <v>n/a</v>
      </c>
      <c r="K96" s="71" t="str">
        <f t="shared" si="70"/>
        <v>n/a</v>
      </c>
      <c r="L96" s="99"/>
      <c r="M96" s="71" t="str">
        <f t="shared" si="71"/>
        <v>n/a</v>
      </c>
      <c r="N96" s="71" t="str">
        <f t="shared" si="71"/>
        <v>n/a</v>
      </c>
      <c r="O96" s="71" t="str">
        <f t="shared" si="71"/>
        <v>n/a</v>
      </c>
      <c r="P96" s="71" t="str">
        <f t="shared" si="71"/>
        <v>n/a</v>
      </c>
      <c r="Q96" s="86"/>
    </row>
    <row r="97" spans="2:17" ht="15" customHeight="1" x14ac:dyDescent="0.2">
      <c r="B97" s="53" t="s">
        <v>68</v>
      </c>
      <c r="C97" s="71" t="str">
        <f t="shared" si="69"/>
        <v>n/a</v>
      </c>
      <c r="D97" s="71" t="str">
        <f t="shared" si="69"/>
        <v>n/a</v>
      </c>
      <c r="E97" s="71" t="str">
        <f t="shared" si="69"/>
        <v>n/a</v>
      </c>
      <c r="F97" s="71" t="str">
        <f t="shared" si="69"/>
        <v>n/a</v>
      </c>
      <c r="G97" s="99"/>
      <c r="H97" s="71" t="str">
        <f t="shared" si="70"/>
        <v>n/a</v>
      </c>
      <c r="I97" s="71" t="str">
        <f t="shared" si="70"/>
        <v>n/a</v>
      </c>
      <c r="J97" s="71" t="str">
        <f t="shared" si="70"/>
        <v>n/a</v>
      </c>
      <c r="K97" s="71" t="str">
        <f t="shared" si="70"/>
        <v>n/a</v>
      </c>
      <c r="L97" s="99"/>
      <c r="M97" s="71" t="str">
        <f t="shared" si="71"/>
        <v>n/a</v>
      </c>
      <c r="N97" s="71" t="str">
        <f t="shared" si="71"/>
        <v>n/a</v>
      </c>
      <c r="O97" s="71" t="str">
        <f t="shared" si="71"/>
        <v>n/a</v>
      </c>
      <c r="P97" s="71" t="str">
        <f t="shared" si="71"/>
        <v>n/a</v>
      </c>
      <c r="Q97" s="86"/>
    </row>
    <row r="98" spans="2:17" ht="15" customHeight="1" x14ac:dyDescent="0.2">
      <c r="B98" s="53" t="s">
        <v>67</v>
      </c>
      <c r="C98" s="71" t="str">
        <f t="shared" si="69"/>
        <v>n/a</v>
      </c>
      <c r="D98" s="71" t="str">
        <f t="shared" si="69"/>
        <v>n/a</v>
      </c>
      <c r="E98" s="71" t="str">
        <f t="shared" si="69"/>
        <v>n/a</v>
      </c>
      <c r="F98" s="71" t="str">
        <f t="shared" si="69"/>
        <v>n/a</v>
      </c>
      <c r="G98" s="99"/>
      <c r="H98" s="71" t="str">
        <f t="shared" si="70"/>
        <v>n/a</v>
      </c>
      <c r="I98" s="71" t="str">
        <f t="shared" si="70"/>
        <v>n/a</v>
      </c>
      <c r="J98" s="71" t="str">
        <f t="shared" si="70"/>
        <v>n/a</v>
      </c>
      <c r="K98" s="71" t="str">
        <f t="shared" si="70"/>
        <v>n/a</v>
      </c>
      <c r="L98" s="99"/>
      <c r="M98" s="71" t="str">
        <f t="shared" si="71"/>
        <v>n/a</v>
      </c>
      <c r="N98" s="71" t="str">
        <f t="shared" si="71"/>
        <v>n/a</v>
      </c>
      <c r="O98" s="71" t="str">
        <f t="shared" si="71"/>
        <v>n/a</v>
      </c>
      <c r="P98" s="71" t="str">
        <f t="shared" si="71"/>
        <v>n/a</v>
      </c>
      <c r="Q98" s="86"/>
    </row>
    <row r="99" spans="2:17" ht="15" customHeight="1" x14ac:dyDescent="0.2">
      <c r="B99" s="60" t="s">
        <v>115</v>
      </c>
      <c r="C99" s="75" t="str">
        <f t="shared" si="69"/>
        <v>n/a</v>
      </c>
      <c r="D99" s="75" t="str">
        <f t="shared" si="69"/>
        <v>n/a</v>
      </c>
      <c r="E99" s="75" t="str">
        <f t="shared" si="69"/>
        <v>n/a</v>
      </c>
      <c r="F99" s="75" t="str">
        <f t="shared" si="69"/>
        <v>n/a</v>
      </c>
      <c r="G99" s="99"/>
      <c r="H99" s="75" t="str">
        <f t="shared" si="70"/>
        <v>n/a</v>
      </c>
      <c r="I99" s="75" t="str">
        <f t="shared" si="70"/>
        <v>n/a</v>
      </c>
      <c r="J99" s="75" t="str">
        <f t="shared" si="70"/>
        <v>n/a</v>
      </c>
      <c r="K99" s="75" t="str">
        <f t="shared" si="70"/>
        <v>n/a</v>
      </c>
      <c r="L99" s="99"/>
      <c r="M99" s="75" t="str">
        <f t="shared" si="71"/>
        <v>n/a</v>
      </c>
      <c r="N99" s="75" t="str">
        <f t="shared" si="71"/>
        <v>n/a</v>
      </c>
      <c r="O99" s="75" t="str">
        <f t="shared" si="71"/>
        <v>n/a</v>
      </c>
      <c r="P99" s="75" t="str">
        <f t="shared" si="71"/>
        <v>n/a</v>
      </c>
      <c r="Q99" s="86"/>
    </row>
    <row r="100" spans="2:17" ht="15" customHeight="1" x14ac:dyDescent="0.2">
      <c r="B100" s="57" t="s">
        <v>13</v>
      </c>
      <c r="C100" s="74" t="str">
        <f t="shared" si="69"/>
        <v>n/a</v>
      </c>
      <c r="D100" s="74" t="str">
        <f t="shared" si="69"/>
        <v>n/a</v>
      </c>
      <c r="E100" s="74" t="str">
        <f t="shared" si="69"/>
        <v>n/a</v>
      </c>
      <c r="F100" s="74" t="str">
        <f t="shared" si="69"/>
        <v>n/a</v>
      </c>
      <c r="G100" s="99"/>
      <c r="H100" s="74" t="str">
        <f t="shared" si="70"/>
        <v>n/a</v>
      </c>
      <c r="I100" s="74" t="str">
        <f t="shared" si="70"/>
        <v>n/a</v>
      </c>
      <c r="J100" s="74" t="str">
        <f t="shared" si="70"/>
        <v>n/a</v>
      </c>
      <c r="K100" s="74" t="str">
        <f t="shared" si="70"/>
        <v>n/a</v>
      </c>
      <c r="L100" s="99"/>
      <c r="M100" s="74" t="str">
        <f t="shared" si="71"/>
        <v>n/a</v>
      </c>
      <c r="N100" s="74" t="str">
        <f t="shared" si="71"/>
        <v>n/a</v>
      </c>
      <c r="O100" s="74" t="str">
        <f t="shared" si="71"/>
        <v>n/a</v>
      </c>
      <c r="P100" s="74" t="str">
        <f t="shared" si="71"/>
        <v>n/a</v>
      </c>
      <c r="Q100" s="86"/>
    </row>
    <row r="101" spans="2:17" ht="15" customHeight="1" x14ac:dyDescent="0.2">
      <c r="B101" s="56" t="s">
        <v>12</v>
      </c>
      <c r="C101" s="76" t="str">
        <f t="shared" si="69"/>
        <v>n/a</v>
      </c>
      <c r="D101" s="76" t="str">
        <f t="shared" si="69"/>
        <v>n/a</v>
      </c>
      <c r="E101" s="76" t="str">
        <f t="shared" si="69"/>
        <v>n/a</v>
      </c>
      <c r="F101" s="76" t="str">
        <f t="shared" si="69"/>
        <v>n/a</v>
      </c>
      <c r="G101" s="99"/>
      <c r="H101" s="76" t="str">
        <f t="shared" si="70"/>
        <v>n/a</v>
      </c>
      <c r="I101" s="76" t="str">
        <f t="shared" si="70"/>
        <v>n/a</v>
      </c>
      <c r="J101" s="76" t="str">
        <f t="shared" si="70"/>
        <v>n/a</v>
      </c>
      <c r="K101" s="76" t="str">
        <f t="shared" si="70"/>
        <v>n/a</v>
      </c>
      <c r="L101" s="99"/>
      <c r="M101" s="76" t="str">
        <f t="shared" si="71"/>
        <v>n/a</v>
      </c>
      <c r="N101" s="76" t="str">
        <f t="shared" si="71"/>
        <v>n/a</v>
      </c>
      <c r="O101" s="76" t="str">
        <f t="shared" si="71"/>
        <v>n/a</v>
      </c>
      <c r="P101" s="76" t="str">
        <f t="shared" si="71"/>
        <v>n/a</v>
      </c>
      <c r="Q101" s="86"/>
    </row>
    <row r="102" spans="2:17" ht="15" customHeight="1" x14ac:dyDescent="0.2">
      <c r="B102" s="26" t="s">
        <v>48</v>
      </c>
      <c r="C102" s="71"/>
      <c r="D102" s="71"/>
      <c r="E102" s="71"/>
      <c r="F102" s="71"/>
      <c r="G102" s="99"/>
      <c r="H102" s="71"/>
      <c r="I102" s="71"/>
      <c r="J102" s="71"/>
      <c r="K102" s="71"/>
      <c r="L102" s="99"/>
      <c r="M102" s="71"/>
      <c r="N102" s="71"/>
      <c r="O102" s="71"/>
      <c r="P102" s="71"/>
      <c r="Q102" s="86"/>
    </row>
    <row r="103" spans="2:17" ht="15" customHeight="1" x14ac:dyDescent="0.2">
      <c r="B103" s="26" t="s">
        <v>11</v>
      </c>
      <c r="C103" s="71"/>
      <c r="D103" s="71"/>
      <c r="E103" s="71"/>
      <c r="F103" s="71"/>
      <c r="G103" s="99"/>
      <c r="H103" s="71"/>
      <c r="I103" s="71"/>
      <c r="J103" s="71"/>
      <c r="K103" s="71"/>
      <c r="L103" s="99"/>
      <c r="M103" s="71"/>
      <c r="N103" s="71"/>
      <c r="O103" s="71"/>
      <c r="P103" s="71"/>
      <c r="Q103" s="86"/>
    </row>
    <row r="104" spans="2:17" ht="15" customHeight="1" x14ac:dyDescent="0.2">
      <c r="B104" s="27" t="s">
        <v>49</v>
      </c>
      <c r="C104" s="71"/>
      <c r="D104" s="71"/>
      <c r="E104" s="71"/>
      <c r="F104" s="71"/>
      <c r="G104" s="99"/>
      <c r="H104" s="71"/>
      <c r="I104" s="71"/>
      <c r="J104" s="71"/>
      <c r="K104" s="71"/>
      <c r="L104" s="99"/>
      <c r="M104" s="71"/>
      <c r="N104" s="71"/>
      <c r="O104" s="71"/>
      <c r="P104" s="71"/>
      <c r="Q104" s="86"/>
    </row>
    <row r="105" spans="2:17" ht="30" x14ac:dyDescent="0.2">
      <c r="B105" s="78" t="s">
        <v>83</v>
      </c>
      <c r="C105" s="71" t="str">
        <f t="shared" ref="C105:F106" si="72">IFERROR(C70/C$66,"n/a")</f>
        <v>n/a</v>
      </c>
      <c r="D105" s="71" t="str">
        <f t="shared" si="72"/>
        <v>n/a</v>
      </c>
      <c r="E105" s="71" t="str">
        <f t="shared" si="72"/>
        <v>n/a</v>
      </c>
      <c r="F105" s="71" t="str">
        <f t="shared" si="72"/>
        <v>n/a</v>
      </c>
      <c r="G105" s="99"/>
      <c r="H105" s="71" t="str">
        <f t="shared" ref="H105:K106" si="73">IFERROR(H70/H$66,"n/a")</f>
        <v>n/a</v>
      </c>
      <c r="I105" s="71" t="str">
        <f t="shared" si="73"/>
        <v>n/a</v>
      </c>
      <c r="J105" s="71" t="str">
        <f t="shared" si="73"/>
        <v>n/a</v>
      </c>
      <c r="K105" s="71" t="str">
        <f t="shared" si="73"/>
        <v>n/a</v>
      </c>
      <c r="L105" s="99"/>
      <c r="M105" s="71" t="str">
        <f t="shared" ref="M105:P106" si="74">IFERROR(M70/M$66,"n/a")</f>
        <v>n/a</v>
      </c>
      <c r="N105" s="71" t="str">
        <f t="shared" si="74"/>
        <v>n/a</v>
      </c>
      <c r="O105" s="71" t="str">
        <f t="shared" si="74"/>
        <v>n/a</v>
      </c>
      <c r="P105" s="71" t="str">
        <f t="shared" si="74"/>
        <v>n/a</v>
      </c>
      <c r="Q105" s="86"/>
    </row>
    <row r="106" spans="2:17" ht="15" customHeight="1" x14ac:dyDescent="0.2">
      <c r="B106" s="57" t="s">
        <v>50</v>
      </c>
      <c r="C106" s="74" t="str">
        <f t="shared" si="72"/>
        <v>n/a</v>
      </c>
      <c r="D106" s="74" t="str">
        <f t="shared" si="72"/>
        <v>n/a</v>
      </c>
      <c r="E106" s="74" t="str">
        <f t="shared" si="72"/>
        <v>n/a</v>
      </c>
      <c r="F106" s="74" t="str">
        <f t="shared" si="72"/>
        <v>n/a</v>
      </c>
      <c r="G106" s="99"/>
      <c r="H106" s="74" t="str">
        <f t="shared" si="73"/>
        <v>n/a</v>
      </c>
      <c r="I106" s="74" t="str">
        <f t="shared" si="73"/>
        <v>n/a</v>
      </c>
      <c r="J106" s="74" t="str">
        <f t="shared" si="73"/>
        <v>n/a</v>
      </c>
      <c r="K106" s="74" t="str">
        <f t="shared" si="73"/>
        <v>n/a</v>
      </c>
      <c r="L106" s="99"/>
      <c r="M106" s="74" t="str">
        <f t="shared" si="74"/>
        <v>n/a</v>
      </c>
      <c r="N106" s="74" t="str">
        <f t="shared" si="74"/>
        <v>n/a</v>
      </c>
      <c r="O106" s="74" t="str">
        <f t="shared" si="74"/>
        <v>n/a</v>
      </c>
      <c r="P106" s="74" t="str">
        <f t="shared" si="74"/>
        <v>n/a</v>
      </c>
      <c r="Q106" s="86"/>
    </row>
    <row r="107" spans="2:17" ht="15" customHeight="1" x14ac:dyDescent="0.2">
      <c r="B107" s="27" t="s">
        <v>9</v>
      </c>
      <c r="C107" s="71"/>
      <c r="D107" s="71"/>
      <c r="E107" s="71"/>
      <c r="F107" s="71"/>
      <c r="G107" s="99"/>
      <c r="H107" s="71"/>
      <c r="I107" s="71"/>
      <c r="J107" s="71"/>
      <c r="K107" s="71"/>
      <c r="L107" s="99"/>
      <c r="M107" s="71"/>
      <c r="N107" s="71"/>
      <c r="O107" s="71"/>
      <c r="P107" s="71"/>
      <c r="Q107" s="86"/>
    </row>
    <row r="108" spans="2:17" ht="15" customHeight="1" x14ac:dyDescent="0.2">
      <c r="B108" s="28" t="s">
        <v>82</v>
      </c>
      <c r="C108" s="77" t="str">
        <f t="shared" ref="C108:F110" si="75">IFERROR(C73/C$66,"n/a")</f>
        <v>n/a</v>
      </c>
      <c r="D108" s="77" t="str">
        <f t="shared" si="75"/>
        <v>n/a</v>
      </c>
      <c r="E108" s="77" t="str">
        <f t="shared" si="75"/>
        <v>n/a</v>
      </c>
      <c r="F108" s="77" t="str">
        <f t="shared" si="75"/>
        <v>n/a</v>
      </c>
      <c r="G108" s="99"/>
      <c r="H108" s="77" t="str">
        <f t="shared" ref="H108:K110" si="76">IFERROR(H73/H$66,"n/a")</f>
        <v>n/a</v>
      </c>
      <c r="I108" s="77" t="str">
        <f t="shared" si="76"/>
        <v>n/a</v>
      </c>
      <c r="J108" s="77" t="str">
        <f t="shared" si="76"/>
        <v>n/a</v>
      </c>
      <c r="K108" s="77" t="str">
        <f t="shared" si="76"/>
        <v>n/a</v>
      </c>
      <c r="L108" s="99"/>
      <c r="M108" s="77" t="str">
        <f t="shared" ref="M108:P110" si="77">IFERROR(M73/M$66,"n/a")</f>
        <v>n/a</v>
      </c>
      <c r="N108" s="77" t="str">
        <f t="shared" si="77"/>
        <v>n/a</v>
      </c>
      <c r="O108" s="77" t="str">
        <f t="shared" si="77"/>
        <v>n/a</v>
      </c>
      <c r="P108" s="77" t="str">
        <f t="shared" si="77"/>
        <v>n/a</v>
      </c>
      <c r="Q108" s="86"/>
    </row>
    <row r="109" spans="2:17" ht="15" customHeight="1" x14ac:dyDescent="0.2">
      <c r="B109" s="57" t="s">
        <v>10</v>
      </c>
      <c r="C109" s="74" t="str">
        <f t="shared" si="75"/>
        <v>n/a</v>
      </c>
      <c r="D109" s="74" t="str">
        <f t="shared" si="75"/>
        <v>n/a</v>
      </c>
      <c r="E109" s="74" t="str">
        <f t="shared" si="75"/>
        <v>n/a</v>
      </c>
      <c r="F109" s="74" t="str">
        <f t="shared" si="75"/>
        <v>n/a</v>
      </c>
      <c r="G109" s="99"/>
      <c r="H109" s="74" t="str">
        <f t="shared" si="76"/>
        <v>n/a</v>
      </c>
      <c r="I109" s="74" t="str">
        <f t="shared" si="76"/>
        <v>n/a</v>
      </c>
      <c r="J109" s="74" t="str">
        <f t="shared" si="76"/>
        <v>n/a</v>
      </c>
      <c r="K109" s="74" t="str">
        <f t="shared" si="76"/>
        <v>n/a</v>
      </c>
      <c r="L109" s="99"/>
      <c r="M109" s="74" t="str">
        <f t="shared" si="77"/>
        <v>n/a</v>
      </c>
      <c r="N109" s="74" t="str">
        <f t="shared" si="77"/>
        <v>n/a</v>
      </c>
      <c r="O109" s="74" t="str">
        <f t="shared" si="77"/>
        <v>n/a</v>
      </c>
      <c r="P109" s="74" t="str">
        <f t="shared" si="77"/>
        <v>n/a</v>
      </c>
      <c r="Q109" s="86"/>
    </row>
    <row r="110" spans="2:17" ht="15" customHeight="1" x14ac:dyDescent="0.2">
      <c r="B110" s="61" t="s">
        <v>8</v>
      </c>
      <c r="C110" s="76" t="str">
        <f t="shared" si="75"/>
        <v>n/a</v>
      </c>
      <c r="D110" s="76" t="str">
        <f t="shared" si="75"/>
        <v>n/a</v>
      </c>
      <c r="E110" s="76" t="str">
        <f t="shared" si="75"/>
        <v>n/a</v>
      </c>
      <c r="F110" s="76" t="str">
        <f t="shared" si="75"/>
        <v>n/a</v>
      </c>
      <c r="G110" s="99"/>
      <c r="H110" s="76" t="str">
        <f t="shared" si="76"/>
        <v>n/a</v>
      </c>
      <c r="I110" s="76" t="str">
        <f t="shared" si="76"/>
        <v>n/a</v>
      </c>
      <c r="J110" s="76" t="str">
        <f t="shared" si="76"/>
        <v>n/a</v>
      </c>
      <c r="K110" s="76" t="str">
        <f t="shared" si="76"/>
        <v>n/a</v>
      </c>
      <c r="L110" s="99"/>
      <c r="M110" s="76" t="str">
        <f t="shared" si="77"/>
        <v>n/a</v>
      </c>
      <c r="N110" s="76" t="str">
        <f t="shared" si="77"/>
        <v>n/a</v>
      </c>
      <c r="O110" s="76" t="str">
        <f t="shared" si="77"/>
        <v>n/a</v>
      </c>
      <c r="P110" s="76" t="str">
        <f t="shared" si="77"/>
        <v>n/a</v>
      </c>
      <c r="Q110" s="86"/>
    </row>
    <row r="111" spans="2:17" ht="15" customHeight="1" x14ac:dyDescent="0.2">
      <c r="B111" s="26" t="s">
        <v>51</v>
      </c>
      <c r="C111" s="71"/>
      <c r="D111" s="71"/>
      <c r="E111" s="71"/>
      <c r="F111" s="71"/>
      <c r="G111" s="99"/>
      <c r="H111" s="71"/>
      <c r="I111" s="71"/>
      <c r="J111" s="71"/>
      <c r="K111" s="71"/>
      <c r="L111" s="99"/>
      <c r="M111" s="71"/>
      <c r="N111" s="71"/>
      <c r="O111" s="71"/>
      <c r="P111" s="71"/>
      <c r="Q111" s="86"/>
    </row>
    <row r="112" spans="2:17" ht="15" customHeight="1" x14ac:dyDescent="0.2">
      <c r="B112" s="16" t="s">
        <v>52</v>
      </c>
      <c r="C112" s="71" t="str">
        <f t="shared" ref="C112:F115" si="78">IFERROR(C77/C$66,"n/a")</f>
        <v>n/a</v>
      </c>
      <c r="D112" s="71" t="str">
        <f t="shared" si="78"/>
        <v>n/a</v>
      </c>
      <c r="E112" s="71" t="str">
        <f t="shared" si="78"/>
        <v>n/a</v>
      </c>
      <c r="F112" s="71" t="str">
        <f t="shared" si="78"/>
        <v>n/a</v>
      </c>
      <c r="G112" s="99"/>
      <c r="H112" s="71" t="str">
        <f t="shared" ref="H112:K115" si="79">IFERROR(H77/H$66,"n/a")</f>
        <v>n/a</v>
      </c>
      <c r="I112" s="71" t="str">
        <f t="shared" si="79"/>
        <v>n/a</v>
      </c>
      <c r="J112" s="71" t="str">
        <f t="shared" si="79"/>
        <v>n/a</v>
      </c>
      <c r="K112" s="71" t="str">
        <f t="shared" si="79"/>
        <v>n/a</v>
      </c>
      <c r="L112" s="99"/>
      <c r="M112" s="71" t="str">
        <f t="shared" ref="M112:P115" si="80">IFERROR(M77/M$66,"n/a")</f>
        <v>n/a</v>
      </c>
      <c r="N112" s="71" t="str">
        <f t="shared" si="80"/>
        <v>n/a</v>
      </c>
      <c r="O112" s="71" t="str">
        <f t="shared" si="80"/>
        <v>n/a</v>
      </c>
      <c r="P112" s="71" t="str">
        <f t="shared" si="80"/>
        <v>n/a</v>
      </c>
      <c r="Q112" s="86"/>
    </row>
    <row r="113" spans="2:18" ht="15" customHeight="1" x14ac:dyDescent="0.2">
      <c r="B113" s="16" t="s">
        <v>53</v>
      </c>
      <c r="C113" s="77" t="str">
        <f t="shared" si="78"/>
        <v>n/a</v>
      </c>
      <c r="D113" s="77" t="str">
        <f t="shared" si="78"/>
        <v>n/a</v>
      </c>
      <c r="E113" s="77" t="str">
        <f t="shared" si="78"/>
        <v>n/a</v>
      </c>
      <c r="F113" s="77" t="str">
        <f t="shared" si="78"/>
        <v>n/a</v>
      </c>
      <c r="G113" s="99"/>
      <c r="H113" s="77" t="str">
        <f t="shared" si="79"/>
        <v>n/a</v>
      </c>
      <c r="I113" s="77" t="str">
        <f t="shared" si="79"/>
        <v>n/a</v>
      </c>
      <c r="J113" s="77" t="str">
        <f t="shared" si="79"/>
        <v>n/a</v>
      </c>
      <c r="K113" s="77" t="str">
        <f t="shared" si="79"/>
        <v>n/a</v>
      </c>
      <c r="L113" s="99"/>
      <c r="M113" s="77" t="str">
        <f t="shared" si="80"/>
        <v>n/a</v>
      </c>
      <c r="N113" s="77" t="str">
        <f t="shared" si="80"/>
        <v>n/a</v>
      </c>
      <c r="O113" s="77" t="str">
        <f t="shared" si="80"/>
        <v>n/a</v>
      </c>
      <c r="P113" s="77" t="str">
        <f t="shared" si="80"/>
        <v>n/a</v>
      </c>
      <c r="Q113" s="86"/>
    </row>
    <row r="114" spans="2:18" ht="15" customHeight="1" x14ac:dyDescent="0.2">
      <c r="B114" s="18" t="s">
        <v>54</v>
      </c>
      <c r="C114" s="74" t="str">
        <f t="shared" si="78"/>
        <v>n/a</v>
      </c>
      <c r="D114" s="74" t="str">
        <f t="shared" si="78"/>
        <v>n/a</v>
      </c>
      <c r="E114" s="74" t="str">
        <f t="shared" si="78"/>
        <v>n/a</v>
      </c>
      <c r="F114" s="74" t="str">
        <f t="shared" si="78"/>
        <v>n/a</v>
      </c>
      <c r="G114" s="99"/>
      <c r="H114" s="74" t="str">
        <f t="shared" si="79"/>
        <v>n/a</v>
      </c>
      <c r="I114" s="74" t="str">
        <f t="shared" si="79"/>
        <v>n/a</v>
      </c>
      <c r="J114" s="74" t="str">
        <f t="shared" si="79"/>
        <v>n/a</v>
      </c>
      <c r="K114" s="74" t="str">
        <f t="shared" si="79"/>
        <v>n/a</v>
      </c>
      <c r="L114" s="99"/>
      <c r="M114" s="74" t="str">
        <f t="shared" si="80"/>
        <v>n/a</v>
      </c>
      <c r="N114" s="74" t="str">
        <f t="shared" si="80"/>
        <v>n/a</v>
      </c>
      <c r="O114" s="74" t="str">
        <f t="shared" si="80"/>
        <v>n/a</v>
      </c>
      <c r="P114" s="74" t="str">
        <f t="shared" si="80"/>
        <v>n/a</v>
      </c>
      <c r="Q114" s="86"/>
    </row>
    <row r="115" spans="2:18" ht="15" customHeight="1" x14ac:dyDescent="0.2">
      <c r="B115" s="56" t="s">
        <v>55</v>
      </c>
      <c r="C115" s="76" t="str">
        <f t="shared" si="78"/>
        <v>n/a</v>
      </c>
      <c r="D115" s="76" t="str">
        <f t="shared" si="78"/>
        <v>n/a</v>
      </c>
      <c r="E115" s="76" t="str">
        <f t="shared" si="78"/>
        <v>n/a</v>
      </c>
      <c r="F115" s="76" t="str">
        <f t="shared" si="78"/>
        <v>n/a</v>
      </c>
      <c r="G115" s="99"/>
      <c r="H115" s="76" t="str">
        <f t="shared" si="79"/>
        <v>n/a</v>
      </c>
      <c r="I115" s="76" t="str">
        <f t="shared" si="79"/>
        <v>n/a</v>
      </c>
      <c r="J115" s="76" t="str">
        <f t="shared" si="79"/>
        <v>n/a</v>
      </c>
      <c r="K115" s="76" t="str">
        <f t="shared" si="79"/>
        <v>n/a</v>
      </c>
      <c r="L115" s="99"/>
      <c r="M115" s="76" t="str">
        <f t="shared" si="80"/>
        <v>n/a</v>
      </c>
      <c r="N115" s="76" t="str">
        <f t="shared" si="80"/>
        <v>n/a</v>
      </c>
      <c r="O115" s="76" t="str">
        <f t="shared" si="80"/>
        <v>n/a</v>
      </c>
      <c r="P115" s="76" t="str">
        <f t="shared" si="80"/>
        <v>n/a</v>
      </c>
      <c r="Q115" s="86"/>
    </row>
    <row r="116" spans="2:18" ht="15" customHeight="1" x14ac:dyDescent="0.2"/>
    <row r="117" spans="2:18" ht="15" customHeight="1" x14ac:dyDescent="0.2">
      <c r="B117" s="12" t="s">
        <v>22</v>
      </c>
      <c r="C117" s="12"/>
      <c r="D117" s="10"/>
      <c r="E117" s="10"/>
      <c r="F117" s="10"/>
      <c r="H117" s="12"/>
      <c r="I117" s="10"/>
      <c r="J117" s="10"/>
      <c r="K117" s="10"/>
      <c r="M117" s="12"/>
      <c r="N117" s="10"/>
      <c r="O117" s="10"/>
      <c r="P117" s="10"/>
      <c r="R117" s="48"/>
    </row>
    <row r="118" spans="2:18" ht="15" customHeight="1" x14ac:dyDescent="0.2">
      <c r="B118" s="33"/>
      <c r="C118" s="33"/>
      <c r="D118" s="91">
        <f>D$7</f>
        <v>1</v>
      </c>
      <c r="E118" s="91">
        <f>E$7</f>
        <v>2</v>
      </c>
      <c r="F118" s="91">
        <f>F$7</f>
        <v>3</v>
      </c>
      <c r="G118" s="99"/>
      <c r="H118" s="33"/>
      <c r="I118" s="91">
        <f>I$7</f>
        <v>1</v>
      </c>
      <c r="J118" s="91">
        <f>J$7</f>
        <v>2</v>
      </c>
      <c r="K118" s="91">
        <f>K$7</f>
        <v>3</v>
      </c>
      <c r="L118" s="99"/>
      <c r="M118" s="33"/>
      <c r="N118" s="91">
        <f>N$7</f>
        <v>1</v>
      </c>
      <c r="O118" s="91">
        <f>O$7</f>
        <v>2</v>
      </c>
      <c r="P118" s="91">
        <f>P$7</f>
        <v>3</v>
      </c>
      <c r="Q118" s="86"/>
      <c r="R118" s="79" t="s">
        <v>15</v>
      </c>
    </row>
    <row r="119" spans="2:18" ht="15" customHeight="1" x14ac:dyDescent="0.2">
      <c r="B119" s="34" t="s">
        <v>17</v>
      </c>
      <c r="C119" s="89"/>
      <c r="D119" s="38" t="str">
        <f t="shared" ref="D119:E119" si="81">IFERROR(IF(D$8="","",D$19*(1-$U$2)/AVERAGE(C$66:D$66)),"")</f>
        <v/>
      </c>
      <c r="E119" s="38" t="str">
        <f t="shared" si="81"/>
        <v/>
      </c>
      <c r="F119" s="38" t="str">
        <f>IFERROR(IF(F$8="","",F$19*(1-$U$2)/AVERAGE(E$66:F$66)),"")</f>
        <v/>
      </c>
      <c r="G119" s="99"/>
      <c r="H119" s="89"/>
      <c r="I119" s="38" t="str">
        <f t="shared" ref="I119:J119" si="82">IFERROR(IF(I$8="","",I$19*(1-$U$2)/AVERAGE(H$66:I$66)),"")</f>
        <v/>
      </c>
      <c r="J119" s="38" t="str">
        <f t="shared" si="82"/>
        <v/>
      </c>
      <c r="K119" s="38" t="str">
        <f>IFERROR(IF(K$8="","",K$19*(1-$U$2)/AVERAGE(J$66:K$66)),"")</f>
        <v/>
      </c>
      <c r="L119" s="99"/>
      <c r="M119" s="89"/>
      <c r="N119" s="38" t="str">
        <f t="shared" ref="N119:O119" si="83">IFERROR(IF(N$8="","",N$19*(1-$U$2)/AVERAGE(M$66:N$66)),"")</f>
        <v/>
      </c>
      <c r="O119" s="38" t="str">
        <f t="shared" si="83"/>
        <v/>
      </c>
      <c r="P119" s="38" t="str">
        <f>IFERROR(IF(P$8="","",P$19*(1-$U$2)/AVERAGE(O$66:P$66)),"")</f>
        <v/>
      </c>
      <c r="Q119" s="86"/>
      <c r="R119" s="85" t="s">
        <v>113</v>
      </c>
    </row>
    <row r="120" spans="2:18" ht="15" customHeight="1" x14ac:dyDescent="0.2">
      <c r="B120" s="6" t="s">
        <v>26</v>
      </c>
      <c r="C120" s="90"/>
      <c r="D120" s="35" t="str">
        <f>IFERROR(D$19*(1-$U$2)/D$8,"")</f>
        <v/>
      </c>
      <c r="E120" s="35" t="str">
        <f>IFERROR(E$19*(1-$U$2)/E$8,"")</f>
        <v/>
      </c>
      <c r="F120" s="35" t="str">
        <f>IFERROR(F$19*(1-$U$2)/F$8,"")</f>
        <v/>
      </c>
      <c r="G120" s="99"/>
      <c r="H120" s="90"/>
      <c r="I120" s="35" t="str">
        <f>IFERROR(I$19*(1-$U$2)/I$8,"")</f>
        <v/>
      </c>
      <c r="J120" s="35" t="str">
        <f>IFERROR(J$19*(1-$U$2)/J$8,"")</f>
        <v/>
      </c>
      <c r="K120" s="35" t="str">
        <f>IFERROR(K$19*(1-$U$2)/K$8,"")</f>
        <v/>
      </c>
      <c r="L120" s="99"/>
      <c r="M120" s="90"/>
      <c r="N120" s="35" t="str">
        <f>IFERROR(N$19*(1-$U$2)/N$8,"")</f>
        <v/>
      </c>
      <c r="O120" s="35" t="str">
        <f>IFERROR(O$19*(1-$U$2)/O$8,"")</f>
        <v/>
      </c>
      <c r="P120" s="35" t="str">
        <f>IFERROR(P$19*(1-$U$2)/P$8,"")</f>
        <v/>
      </c>
      <c r="Q120" s="86"/>
      <c r="R120" s="85" t="s">
        <v>101</v>
      </c>
    </row>
    <row r="121" spans="2:18" ht="15" customHeight="1" x14ac:dyDescent="0.2">
      <c r="B121" s="6" t="s">
        <v>18</v>
      </c>
      <c r="C121" s="90"/>
      <c r="D121" s="39" t="str">
        <f t="shared" ref="D121:E121" si="84">IFERROR(IF(D$8="","",D$8/AVERAGE(C$66:D$66)),"")</f>
        <v/>
      </c>
      <c r="E121" s="39" t="str">
        <f t="shared" si="84"/>
        <v/>
      </c>
      <c r="F121" s="39" t="str">
        <f>IFERROR(IF(F$8="","",F$8/AVERAGE(E$66:F$66)),"")</f>
        <v/>
      </c>
      <c r="G121" s="99"/>
      <c r="H121" s="90"/>
      <c r="I121" s="39" t="str">
        <f t="shared" ref="I121:J121" si="85">IFERROR(IF(I$8="","",I$8/AVERAGE(H$66:I$66)),"")</f>
        <v/>
      </c>
      <c r="J121" s="39" t="str">
        <f t="shared" si="85"/>
        <v/>
      </c>
      <c r="K121" s="39" t="str">
        <f>IFERROR(IF(K$8="","",K$8/AVERAGE(J$66:K$66)),"")</f>
        <v/>
      </c>
      <c r="L121" s="99"/>
      <c r="M121" s="90"/>
      <c r="N121" s="39" t="str">
        <f t="shared" ref="N121:O121" si="86">IFERROR(IF(N$8="","",N$8/AVERAGE(M$66:N$66)),"")</f>
        <v/>
      </c>
      <c r="O121" s="39" t="str">
        <f t="shared" si="86"/>
        <v/>
      </c>
      <c r="P121" s="39" t="str">
        <f>IFERROR(IF(P$8="","",P$8/AVERAGE(O$66:P$66)),"")</f>
        <v/>
      </c>
      <c r="Q121" s="86"/>
      <c r="R121" s="85" t="s">
        <v>85</v>
      </c>
    </row>
    <row r="122" spans="2:18" ht="15" customHeight="1" x14ac:dyDescent="0.2"/>
    <row r="123" spans="2:18" ht="15" customHeight="1" x14ac:dyDescent="0.2">
      <c r="B123" s="12" t="s">
        <v>28</v>
      </c>
      <c r="C123" s="12"/>
      <c r="D123" s="10"/>
      <c r="E123" s="10"/>
      <c r="F123" s="10"/>
      <c r="H123" s="12"/>
      <c r="I123" s="10"/>
      <c r="J123" s="10"/>
      <c r="K123" s="10"/>
      <c r="M123" s="12"/>
      <c r="N123" s="10"/>
      <c r="O123" s="10"/>
      <c r="P123" s="10"/>
      <c r="R123" s="48"/>
    </row>
    <row r="124" spans="2:18" ht="15" customHeight="1" x14ac:dyDescent="0.2">
      <c r="B124" s="33"/>
      <c r="C124" s="33"/>
      <c r="D124" s="91">
        <f>D$7</f>
        <v>1</v>
      </c>
      <c r="E124" s="91">
        <f>E$7</f>
        <v>2</v>
      </c>
      <c r="F124" s="91">
        <f>F$7</f>
        <v>3</v>
      </c>
      <c r="G124" s="99"/>
      <c r="H124" s="33"/>
      <c r="I124" s="91">
        <f>I$7</f>
        <v>1</v>
      </c>
      <c r="J124" s="91">
        <f>J$7</f>
        <v>2</v>
      </c>
      <c r="K124" s="91">
        <f>K$7</f>
        <v>3</v>
      </c>
      <c r="L124" s="99"/>
      <c r="M124" s="33"/>
      <c r="N124" s="91">
        <f>N$7</f>
        <v>1</v>
      </c>
      <c r="O124" s="91">
        <f>O$7</f>
        <v>2</v>
      </c>
      <c r="P124" s="91">
        <f>P$7</f>
        <v>3</v>
      </c>
      <c r="Q124" s="86"/>
      <c r="R124" s="79" t="s">
        <v>15</v>
      </c>
    </row>
    <row r="125" spans="2:18" ht="15" customHeight="1" x14ac:dyDescent="0.2">
      <c r="B125" s="34" t="s">
        <v>19</v>
      </c>
      <c r="C125" s="89"/>
      <c r="D125" s="38" t="str">
        <f t="shared" ref="D125:E125" si="87">IFERROR(IF(D$8="","",IF(AVERAGE(C$79:D$79)&lt;0,"n/a",D$25/AVERAGE(C$79:D$79))),"")</f>
        <v/>
      </c>
      <c r="E125" s="38" t="str">
        <f t="shared" si="87"/>
        <v/>
      </c>
      <c r="F125" s="38" t="str">
        <f>IFERROR(IF(F$8="","",IF(AVERAGE(E$79:F$79)&lt;0,"n/a",F$25/AVERAGE(E$79:F$79))),"")</f>
        <v/>
      </c>
      <c r="G125" s="99"/>
      <c r="H125" s="89"/>
      <c r="I125" s="38" t="str">
        <f t="shared" ref="I125:J125" si="88">IFERROR(IF(I$8="","",IF(AVERAGE(H$79:I$79)&lt;0,"n/a",I$25/AVERAGE(H$79:I$79))),"")</f>
        <v/>
      </c>
      <c r="J125" s="38" t="str">
        <f t="shared" si="88"/>
        <v/>
      </c>
      <c r="K125" s="38" t="str">
        <f>IFERROR(IF(K$8="","",IF(AVERAGE(J$79:K$79)&lt;0,"n/a",K$25/AVERAGE(J$79:K$79))),"")</f>
        <v/>
      </c>
      <c r="L125" s="99"/>
      <c r="M125" s="89"/>
      <c r="N125" s="38" t="str">
        <f t="shared" ref="N125:O125" si="89">IFERROR(IF(N$8="","",IF(AVERAGE(M$79:N$79)&lt;0,"n/a",N$25/AVERAGE(M$79:N$79))),"")</f>
        <v/>
      </c>
      <c r="O125" s="38" t="str">
        <f t="shared" si="89"/>
        <v/>
      </c>
      <c r="P125" s="38" t="str">
        <f>IFERROR(IF(P$8="","",IF(AVERAGE(O$79:P$79)&lt;0,"n/a",P$25/AVERAGE(O$79:P$79))),"")</f>
        <v/>
      </c>
      <c r="Q125" s="86"/>
      <c r="R125" s="85" t="s">
        <v>86</v>
      </c>
    </row>
    <row r="126" spans="2:18" ht="15" customHeight="1" x14ac:dyDescent="0.2">
      <c r="B126" s="6" t="s">
        <v>21</v>
      </c>
      <c r="C126" s="90"/>
      <c r="D126" s="35" t="str">
        <f>IFERROR(D$25/D$8,"")</f>
        <v/>
      </c>
      <c r="E126" s="35" t="str">
        <f>IFERROR(E$25/E$8,"")</f>
        <v/>
      </c>
      <c r="F126" s="35" t="str">
        <f>IFERROR(F$25/F$8,"")</f>
        <v/>
      </c>
      <c r="G126" s="99"/>
      <c r="H126" s="90"/>
      <c r="I126" s="35" t="str">
        <f>IFERROR(I$25/I$8,"")</f>
        <v/>
      </c>
      <c r="J126" s="35" t="str">
        <f>IFERROR(J$25/J$8,"")</f>
        <v/>
      </c>
      <c r="K126" s="35" t="str">
        <f>IFERROR(K$25/K$8,"")</f>
        <v/>
      </c>
      <c r="L126" s="99"/>
      <c r="M126" s="90"/>
      <c r="N126" s="35" t="str">
        <f>IFERROR(N$25/N$8,"")</f>
        <v/>
      </c>
      <c r="O126" s="35" t="str">
        <f>IFERROR(O$25/O$8,"")</f>
        <v/>
      </c>
      <c r="P126" s="35" t="str">
        <f>IFERROR(P$25/P$8,"")</f>
        <v/>
      </c>
      <c r="Q126" s="86"/>
      <c r="R126" s="85" t="s">
        <v>87</v>
      </c>
    </row>
    <row r="127" spans="2:18" ht="15" customHeight="1" x14ac:dyDescent="0.2">
      <c r="B127" s="6" t="s">
        <v>18</v>
      </c>
      <c r="C127" s="90"/>
      <c r="D127" s="39" t="str">
        <f t="shared" ref="D127:E127" si="90">IFERROR(IF(D$8="","",D$8/AVERAGE(C$66:D$66)),"")</f>
        <v/>
      </c>
      <c r="E127" s="39" t="str">
        <f t="shared" si="90"/>
        <v/>
      </c>
      <c r="F127" s="39" t="str">
        <f>IFERROR(IF(F$8="","",F$8/AVERAGE(E$66:F$66)),"")</f>
        <v/>
      </c>
      <c r="G127" s="99"/>
      <c r="H127" s="90"/>
      <c r="I127" s="39" t="str">
        <f t="shared" ref="I127:J127" si="91">IFERROR(IF(I$8="","",I$8/AVERAGE(H$66:I$66)),"")</f>
        <v/>
      </c>
      <c r="J127" s="39" t="str">
        <f t="shared" si="91"/>
        <v/>
      </c>
      <c r="K127" s="39" t="str">
        <f>IFERROR(IF(K$8="","",K$8/AVERAGE(J$66:K$66)),"")</f>
        <v/>
      </c>
      <c r="L127" s="99"/>
      <c r="M127" s="90"/>
      <c r="N127" s="39" t="str">
        <f t="shared" ref="N127:O127" si="92">IFERROR(IF(N$8="","",N$8/AVERAGE(M$66:N$66)),"")</f>
        <v/>
      </c>
      <c r="O127" s="39" t="str">
        <f t="shared" si="92"/>
        <v/>
      </c>
      <c r="P127" s="39" t="str">
        <f>IFERROR(IF(P$8="","",P$8/AVERAGE(O$66:P$66)),"")</f>
        <v/>
      </c>
      <c r="Q127" s="86"/>
      <c r="R127" s="85" t="s">
        <v>85</v>
      </c>
    </row>
    <row r="128" spans="2:18" ht="15" customHeight="1" x14ac:dyDescent="0.2">
      <c r="B128" s="6" t="s">
        <v>20</v>
      </c>
      <c r="C128" s="90"/>
      <c r="D128" s="39" t="str">
        <f t="shared" ref="D128:E128" si="93">IFERROR(IF(D127="","",IF(AVERAGE(C$79:D$79)&lt;0,"n/a",AVERAGE(C$66:D$66)/AVERAGE(C$79:D$79))),"")</f>
        <v/>
      </c>
      <c r="E128" s="39" t="str">
        <f t="shared" si="93"/>
        <v/>
      </c>
      <c r="F128" s="39" t="str">
        <f>IFERROR(IF(F127="","",IF(AVERAGE(E$79:F$79)&lt;0,"n/a",AVERAGE(E$66:F$66)/AVERAGE(E$79:F$79))),"")</f>
        <v/>
      </c>
      <c r="G128" s="99"/>
      <c r="H128" s="90"/>
      <c r="I128" s="39" t="str">
        <f t="shared" ref="I128" si="94">IFERROR(IF(I127="","",IF(AVERAGE(H$79:I$79)&lt;0,"n/a",AVERAGE(H$66:I$66)/AVERAGE(H$79:I$79))),"")</f>
        <v/>
      </c>
      <c r="J128" s="39" t="str">
        <f t="shared" ref="J128" si="95">IFERROR(IF(J127="","",IF(AVERAGE(I$79:J$79)&lt;0,"n/a",AVERAGE(I$66:J$66)/AVERAGE(I$79:J$79))),"")</f>
        <v/>
      </c>
      <c r="K128" s="39" t="str">
        <f>IFERROR(IF(K127="","",IF(AVERAGE(J$79:K$79)&lt;0,"n/a",AVERAGE(J$66:K$66)/AVERAGE(J$79:K$79))),"")</f>
        <v/>
      </c>
      <c r="L128" s="99"/>
      <c r="M128" s="90"/>
      <c r="N128" s="39" t="str">
        <f t="shared" ref="N128" si="96">IFERROR(IF(N127="","",IF(AVERAGE(M$79:N$79)&lt;0,"n/a",AVERAGE(M$66:N$66)/AVERAGE(M$79:N$79))),"")</f>
        <v/>
      </c>
      <c r="O128" s="39" t="str">
        <f t="shared" ref="O128" si="97">IFERROR(IF(O127="","",IF(AVERAGE(N$79:O$79)&lt;0,"n/a",AVERAGE(N$66:O$66)/AVERAGE(N$79:O$79))),"")</f>
        <v/>
      </c>
      <c r="P128" s="39" t="str">
        <f>IFERROR(IF(P127="","",IF(AVERAGE(O$79:P$79)&lt;0,"n/a",AVERAGE(O$66:P$66)/AVERAGE(O$79:P$79))),"")</f>
        <v/>
      </c>
      <c r="Q128" s="86"/>
      <c r="R128" s="85" t="s">
        <v>88</v>
      </c>
    </row>
    <row r="129" spans="1:18" ht="15" customHeight="1" x14ac:dyDescent="0.2"/>
    <row r="130" spans="1:18" ht="15" customHeight="1" x14ac:dyDescent="0.2">
      <c r="B130" s="12" t="s">
        <v>72</v>
      </c>
      <c r="C130" s="12"/>
      <c r="D130" s="10"/>
      <c r="E130" s="10"/>
      <c r="F130" s="10"/>
      <c r="H130" s="12"/>
      <c r="I130" s="10"/>
      <c r="J130" s="10"/>
      <c r="K130" s="10"/>
      <c r="M130" s="12"/>
      <c r="N130" s="10"/>
      <c r="O130" s="10"/>
      <c r="P130" s="10"/>
      <c r="R130" s="48"/>
    </row>
    <row r="131" spans="1:18" ht="15" customHeight="1" x14ac:dyDescent="0.2">
      <c r="B131" s="33"/>
      <c r="C131" s="33"/>
      <c r="D131" s="91">
        <f>D$7</f>
        <v>1</v>
      </c>
      <c r="E131" s="91">
        <f>E$7</f>
        <v>2</v>
      </c>
      <c r="F131" s="91">
        <f>F$7</f>
        <v>3</v>
      </c>
      <c r="G131" s="99"/>
      <c r="H131" s="33"/>
      <c r="I131" s="91">
        <f>I$7</f>
        <v>1</v>
      </c>
      <c r="J131" s="91">
        <f>J$7</f>
        <v>2</v>
      </c>
      <c r="K131" s="91">
        <f>K$7</f>
        <v>3</v>
      </c>
      <c r="L131" s="99"/>
      <c r="M131" s="33"/>
      <c r="N131" s="91">
        <f>N$7</f>
        <v>1</v>
      </c>
      <c r="O131" s="91">
        <f>O$7</f>
        <v>2</v>
      </c>
      <c r="P131" s="91">
        <f>P$7</f>
        <v>3</v>
      </c>
      <c r="Q131" s="86"/>
      <c r="R131" s="79" t="s">
        <v>15</v>
      </c>
    </row>
    <row r="132" spans="1:18" ht="15" customHeight="1" x14ac:dyDescent="0.2">
      <c r="B132" s="6" t="s">
        <v>29</v>
      </c>
      <c r="C132" s="90"/>
      <c r="D132" s="8" t="str">
        <f>IFERROR(-D$9/D$8,"")</f>
        <v/>
      </c>
      <c r="E132" s="8" t="str">
        <f>IFERROR(-E$9/E$8,"")</f>
        <v/>
      </c>
      <c r="F132" s="8" t="str">
        <f>IFERROR(-F$9/F$8,"")</f>
        <v/>
      </c>
      <c r="G132" s="99"/>
      <c r="H132" s="90"/>
      <c r="I132" s="8" t="str">
        <f>IFERROR(-I$9/I$8,"")</f>
        <v/>
      </c>
      <c r="J132" s="8" t="str">
        <f>IFERROR(-J$9/J$8,"")</f>
        <v/>
      </c>
      <c r="K132" s="8" t="str">
        <f>IFERROR(-K$9/K$8,"")</f>
        <v/>
      </c>
      <c r="L132" s="99"/>
      <c r="M132" s="90"/>
      <c r="N132" s="8" t="str">
        <f>IFERROR(-N$9/N$8,"")</f>
        <v/>
      </c>
      <c r="O132" s="8" t="str">
        <f>IFERROR(-O$9/O$8,"")</f>
        <v/>
      </c>
      <c r="P132" s="8" t="str">
        <f>IFERROR(-P$9/P$8,"")</f>
        <v/>
      </c>
      <c r="Q132" s="86"/>
      <c r="R132" s="85" t="s">
        <v>89</v>
      </c>
    </row>
    <row r="133" spans="1:18" ht="15" customHeight="1" x14ac:dyDescent="0.2">
      <c r="B133" s="6" t="s">
        <v>32</v>
      </c>
      <c r="C133" s="90"/>
      <c r="D133" s="8" t="str">
        <f>IFERROR(-D$11/D$8,"")</f>
        <v/>
      </c>
      <c r="E133" s="8" t="str">
        <f>IFERROR(-E$11/E$8,"")</f>
        <v/>
      </c>
      <c r="F133" s="8" t="str">
        <f>IFERROR(-F$11/F$8,"")</f>
        <v/>
      </c>
      <c r="G133" s="99"/>
      <c r="H133" s="90"/>
      <c r="I133" s="8" t="str">
        <f>IFERROR(-I$11/I$8,"")</f>
        <v/>
      </c>
      <c r="J133" s="8" t="str">
        <f>IFERROR(-J$11/J$8,"")</f>
        <v/>
      </c>
      <c r="K133" s="8" t="str">
        <f>IFERROR(-K$11/K$8,"")</f>
        <v/>
      </c>
      <c r="L133" s="99"/>
      <c r="M133" s="90"/>
      <c r="N133" s="8" t="str">
        <f>IFERROR(-N$11/N$8,"")</f>
        <v/>
      </c>
      <c r="O133" s="8" t="str">
        <f>IFERROR(-O$11/O$8,"")</f>
        <v/>
      </c>
      <c r="P133" s="8" t="str">
        <f>IFERROR(-P$11/P$8,"")</f>
        <v/>
      </c>
      <c r="Q133" s="86"/>
      <c r="R133" s="85" t="s">
        <v>90</v>
      </c>
    </row>
    <row r="134" spans="1:18" ht="15" customHeight="1" x14ac:dyDescent="0.2">
      <c r="B134" s="6" t="s">
        <v>33</v>
      </c>
      <c r="C134" s="90"/>
      <c r="D134" s="8" t="str">
        <f>IFERROR(-D$12/D$8,"")</f>
        <v/>
      </c>
      <c r="E134" s="8" t="str">
        <f>IFERROR(-E$12/E$8,"")</f>
        <v/>
      </c>
      <c r="F134" s="8" t="str">
        <f>IFERROR(-F$12/F$8,"")</f>
        <v/>
      </c>
      <c r="G134" s="99"/>
      <c r="H134" s="90"/>
      <c r="I134" s="8" t="str">
        <f>IFERROR(-I$12/I$8,"")</f>
        <v/>
      </c>
      <c r="J134" s="8" t="str">
        <f>IFERROR(-J$12/J$8,"")</f>
        <v/>
      </c>
      <c r="K134" s="8" t="str">
        <f>IFERROR(-K$12/K$8,"")</f>
        <v/>
      </c>
      <c r="L134" s="99"/>
      <c r="M134" s="90"/>
      <c r="N134" s="8" t="str">
        <f>IFERROR(-N$12/N$8,"")</f>
        <v/>
      </c>
      <c r="O134" s="8" t="str">
        <f>IFERROR(-O$12/O$8,"")</f>
        <v/>
      </c>
      <c r="P134" s="8" t="str">
        <f>IFERROR(-P$12/P$8,"")</f>
        <v/>
      </c>
      <c r="Q134" s="86"/>
      <c r="R134" s="85" t="s">
        <v>91</v>
      </c>
    </row>
    <row r="135" spans="1:18" ht="15" customHeight="1" x14ac:dyDescent="0.2">
      <c r="B135" s="6" t="s">
        <v>34</v>
      </c>
      <c r="C135" s="90"/>
      <c r="D135" s="8" t="str">
        <f>IFERROR(-D$13/D$8,"")</f>
        <v/>
      </c>
      <c r="E135" s="8" t="str">
        <f>IFERROR(-E$13/E$8,"")</f>
        <v/>
      </c>
      <c r="F135" s="8" t="str">
        <f>IFERROR(-F$13/F$8,"")</f>
        <v/>
      </c>
      <c r="G135" s="99"/>
      <c r="H135" s="90"/>
      <c r="I135" s="8" t="str">
        <f>IFERROR(-I$13/I$8,"")</f>
        <v/>
      </c>
      <c r="J135" s="8" t="str">
        <f>IFERROR(-J$13/J$8,"")</f>
        <v/>
      </c>
      <c r="K135" s="8" t="str">
        <f>IFERROR(-K$13/K$8,"")</f>
        <v/>
      </c>
      <c r="L135" s="99"/>
      <c r="M135" s="90"/>
      <c r="N135" s="8" t="str">
        <f>IFERROR(-N$13/N$8,"")</f>
        <v/>
      </c>
      <c r="O135" s="8" t="str">
        <f>IFERROR(-O$13/O$8,"")</f>
        <v/>
      </c>
      <c r="P135" s="8" t="str">
        <f>IFERROR(-P$13/P$8,"")</f>
        <v/>
      </c>
      <c r="Q135" s="86"/>
      <c r="R135" s="85" t="s">
        <v>92</v>
      </c>
    </row>
    <row r="136" spans="1:18" ht="15" customHeight="1" x14ac:dyDescent="0.2">
      <c r="B136" s="6" t="s">
        <v>36</v>
      </c>
      <c r="C136" s="90"/>
      <c r="D136" s="8" t="str">
        <f>IFERROR(-D$15/D$8,"")</f>
        <v/>
      </c>
      <c r="E136" s="8" t="str">
        <f>IFERROR(-E$15/E$8,"")</f>
        <v/>
      </c>
      <c r="F136" s="8" t="str">
        <f>IFERROR(-F$15/F$8,"")</f>
        <v/>
      </c>
      <c r="G136" s="99"/>
      <c r="H136" s="90"/>
      <c r="I136" s="8" t="str">
        <f>IFERROR(-I$15/I$8,"")</f>
        <v/>
      </c>
      <c r="J136" s="8" t="str">
        <f>IFERROR(-J$15/J$8,"")</f>
        <v/>
      </c>
      <c r="K136" s="8" t="str">
        <f>IFERROR(-K$15/K$8,"")</f>
        <v/>
      </c>
      <c r="L136" s="99"/>
      <c r="M136" s="90"/>
      <c r="N136" s="8" t="str">
        <f>IFERROR(-N$15/N$8,"")</f>
        <v/>
      </c>
      <c r="O136" s="8" t="str">
        <f>IFERROR(-O$15/O$8,"")</f>
        <v/>
      </c>
      <c r="P136" s="8" t="str">
        <f>IFERROR(-P$15/P$8,"")</f>
        <v/>
      </c>
      <c r="Q136" s="86"/>
      <c r="R136" s="85" t="s">
        <v>93</v>
      </c>
    </row>
    <row r="137" spans="1:18" ht="15" customHeight="1" x14ac:dyDescent="0.2">
      <c r="B137" s="6" t="s">
        <v>37</v>
      </c>
      <c r="C137" s="90"/>
      <c r="D137" s="8" t="str">
        <f>IFERROR(-D$16/D$8,"")</f>
        <v/>
      </c>
      <c r="E137" s="8" t="str">
        <f>IFERROR(-E$16/E$8,"")</f>
        <v/>
      </c>
      <c r="F137" s="8" t="str">
        <f>IFERROR(-F$16/F$8,"")</f>
        <v/>
      </c>
      <c r="G137" s="99"/>
      <c r="H137" s="90"/>
      <c r="I137" s="8" t="str">
        <f>IFERROR(-I$16/I$8,"")</f>
        <v/>
      </c>
      <c r="J137" s="8" t="str">
        <f>IFERROR(-J$16/J$8,"")</f>
        <v/>
      </c>
      <c r="K137" s="8" t="str">
        <f>IFERROR(-K$16/K$8,"")</f>
        <v/>
      </c>
      <c r="L137" s="99"/>
      <c r="M137" s="90"/>
      <c r="N137" s="8" t="str">
        <f>IFERROR(-N$16/N$8,"")</f>
        <v/>
      </c>
      <c r="O137" s="8" t="str">
        <f>IFERROR(-O$16/O$8,"")</f>
        <v/>
      </c>
      <c r="P137" s="8" t="str">
        <f>IFERROR(-P$16/P$8,"")</f>
        <v/>
      </c>
      <c r="Q137" s="86"/>
      <c r="R137" s="85" t="s">
        <v>94</v>
      </c>
    </row>
    <row r="138" spans="1:18" ht="15" customHeight="1" x14ac:dyDescent="0.2">
      <c r="B138" s="6" t="s">
        <v>38</v>
      </c>
      <c r="C138" s="90"/>
      <c r="D138" s="8" t="str">
        <f>IFERROR(-D$17/D$8,"")</f>
        <v/>
      </c>
      <c r="E138" s="8" t="str">
        <f>IFERROR(-E$17/E$8,"")</f>
        <v/>
      </c>
      <c r="F138" s="8" t="str">
        <f>IFERROR(-F$17/F$8,"")</f>
        <v/>
      </c>
      <c r="G138" s="99"/>
      <c r="H138" s="90"/>
      <c r="I138" s="8" t="str">
        <f>IFERROR(-I$17/I$8,"")</f>
        <v/>
      </c>
      <c r="J138" s="8" t="str">
        <f>IFERROR(-J$17/J$8,"")</f>
        <v/>
      </c>
      <c r="K138" s="8" t="str">
        <f>IFERROR(-K$17/K$8,"")</f>
        <v/>
      </c>
      <c r="L138" s="99"/>
      <c r="M138" s="90"/>
      <c r="N138" s="8" t="str">
        <f>IFERROR(-N$17/N$8,"")</f>
        <v/>
      </c>
      <c r="O138" s="8" t="str">
        <f>IFERROR(-O$17/O$8,"")</f>
        <v/>
      </c>
      <c r="P138" s="8" t="str">
        <f>IFERROR(-P$17/P$8,"")</f>
        <v/>
      </c>
      <c r="Q138" s="86"/>
      <c r="R138" s="85" t="s">
        <v>95</v>
      </c>
    </row>
    <row r="139" spans="1:18" ht="15" customHeight="1" x14ac:dyDescent="0.2">
      <c r="B139" s="6" t="s">
        <v>41</v>
      </c>
      <c r="C139" s="90"/>
      <c r="D139" s="8" t="str">
        <f>IFERROR(D$20/D$8,"")</f>
        <v/>
      </c>
      <c r="E139" s="8" t="str">
        <f>IFERROR(E$20/E$8,"")</f>
        <v/>
      </c>
      <c r="F139" s="8" t="str">
        <f>IFERROR(F$20/F$8,"")</f>
        <v/>
      </c>
      <c r="G139" s="99"/>
      <c r="H139" s="90"/>
      <c r="I139" s="8" t="str">
        <f>IFERROR(I$20/I$8,"")</f>
        <v/>
      </c>
      <c r="J139" s="8" t="str">
        <f>IFERROR(J$20/J$8,"")</f>
        <v/>
      </c>
      <c r="K139" s="8" t="str">
        <f>IFERROR(K$20/K$8,"")</f>
        <v/>
      </c>
      <c r="L139" s="99"/>
      <c r="M139" s="90"/>
      <c r="N139" s="8" t="str">
        <f>IFERROR(N$20/N$8,"")</f>
        <v/>
      </c>
      <c r="O139" s="8" t="str">
        <f>IFERROR(O$20/O$8,"")</f>
        <v/>
      </c>
      <c r="P139" s="8" t="str">
        <f>IFERROR(P$20/P$8,"")</f>
        <v/>
      </c>
      <c r="Q139" s="86"/>
      <c r="R139" s="85" t="s">
        <v>96</v>
      </c>
    </row>
    <row r="140" spans="1:18" ht="15" customHeight="1" x14ac:dyDescent="0.2">
      <c r="B140" s="6" t="s">
        <v>73</v>
      </c>
      <c r="C140" s="90"/>
      <c r="D140" s="8" t="str">
        <f>IFERROR(-D$21/D$8,"")</f>
        <v/>
      </c>
      <c r="E140" s="8" t="str">
        <f>IFERROR(-E$21/E$8,"")</f>
        <v/>
      </c>
      <c r="F140" s="8" t="str">
        <f>IFERROR(-F$21/F$8,"")</f>
        <v/>
      </c>
      <c r="G140" s="99"/>
      <c r="H140" s="90"/>
      <c r="I140" s="8" t="str">
        <f>IFERROR(-I$21/I$8,"")</f>
        <v/>
      </c>
      <c r="J140" s="8" t="str">
        <f>IFERROR(-J$21/J$8,"")</f>
        <v/>
      </c>
      <c r="K140" s="8" t="str">
        <f>IFERROR(-K$21/K$8,"")</f>
        <v/>
      </c>
      <c r="L140" s="99"/>
      <c r="M140" s="90"/>
      <c r="N140" s="8" t="str">
        <f>IFERROR(-N$21/N$8,"")</f>
        <v/>
      </c>
      <c r="O140" s="8" t="str">
        <f>IFERROR(-O$21/O$8,"")</f>
        <v/>
      </c>
      <c r="P140" s="8" t="str">
        <f>IFERROR(-P$21/P$8,"")</f>
        <v/>
      </c>
      <c r="Q140" s="86"/>
      <c r="R140" s="85" t="s">
        <v>97</v>
      </c>
    </row>
    <row r="141" spans="1:18" ht="15" customHeight="1" x14ac:dyDescent="0.2">
      <c r="B141" s="6" t="s">
        <v>43</v>
      </c>
      <c r="C141" s="90"/>
      <c r="D141" s="8" t="str">
        <f>IFERROR(-D$24/D$8,"")</f>
        <v/>
      </c>
      <c r="E141" s="8" t="str">
        <f>IFERROR(-E$24/E$8,"")</f>
        <v/>
      </c>
      <c r="F141" s="8" t="str">
        <f>IFERROR(-F$24/F$8,"")</f>
        <v/>
      </c>
      <c r="G141" s="99"/>
      <c r="H141" s="90"/>
      <c r="I141" s="8" t="str">
        <f>IFERROR(-I$24/I$8,"")</f>
        <v/>
      </c>
      <c r="J141" s="8" t="str">
        <f>IFERROR(-J$24/J$8,"")</f>
        <v/>
      </c>
      <c r="K141" s="8" t="str">
        <f>IFERROR(-K$24/K$8,"")</f>
        <v/>
      </c>
      <c r="L141" s="99"/>
      <c r="M141" s="90"/>
      <c r="N141" s="8" t="str">
        <f>IFERROR(-N$24/N$8,"")</f>
        <v/>
      </c>
      <c r="O141" s="8" t="str">
        <f>IFERROR(-O$24/O$8,"")</f>
        <v/>
      </c>
      <c r="P141" s="8" t="str">
        <f>IFERROR(-P$24/P$8,"")</f>
        <v/>
      </c>
      <c r="Q141" s="86"/>
      <c r="R141" s="85" t="s">
        <v>98</v>
      </c>
    </row>
    <row r="142" spans="1:18" ht="15" customHeight="1" x14ac:dyDescent="0.2">
      <c r="A142" s="10"/>
      <c r="B142" s="10"/>
      <c r="C142" s="10"/>
      <c r="D142" s="10"/>
      <c r="E142" s="10"/>
      <c r="F142" s="10"/>
      <c r="H142" s="10"/>
      <c r="I142" s="10"/>
      <c r="J142" s="10"/>
      <c r="K142" s="10"/>
      <c r="M142" s="10"/>
      <c r="N142" s="10"/>
      <c r="O142" s="10"/>
      <c r="P142" s="10"/>
      <c r="R142" s="48"/>
    </row>
    <row r="143" spans="1:18" ht="15" customHeight="1" x14ac:dyDescent="0.2">
      <c r="B143" s="12" t="s">
        <v>77</v>
      </c>
      <c r="C143" s="12"/>
      <c r="D143" s="10"/>
      <c r="E143" s="10"/>
      <c r="F143" s="10"/>
      <c r="H143" s="12"/>
      <c r="I143" s="10"/>
      <c r="J143" s="10"/>
      <c r="K143" s="10"/>
      <c r="M143" s="12"/>
      <c r="N143" s="10"/>
      <c r="O143" s="10"/>
      <c r="P143" s="10"/>
      <c r="R143" s="48"/>
    </row>
    <row r="144" spans="1:18" ht="15" customHeight="1" x14ac:dyDescent="0.2">
      <c r="B144" s="33"/>
      <c r="C144" s="33"/>
      <c r="D144" s="91">
        <f>D$7</f>
        <v>1</v>
      </c>
      <c r="E144" s="91">
        <f>E$7</f>
        <v>2</v>
      </c>
      <c r="F144" s="91">
        <f>F$7</f>
        <v>3</v>
      </c>
      <c r="G144" s="99"/>
      <c r="H144" s="33"/>
      <c r="I144" s="91">
        <f>I$7</f>
        <v>1</v>
      </c>
      <c r="J144" s="91">
        <f>J$7</f>
        <v>2</v>
      </c>
      <c r="K144" s="91">
        <f>K$7</f>
        <v>3</v>
      </c>
      <c r="L144" s="99"/>
      <c r="M144" s="33"/>
      <c r="N144" s="91">
        <f>N$7</f>
        <v>1</v>
      </c>
      <c r="O144" s="91">
        <f>O$7</f>
        <v>2</v>
      </c>
      <c r="P144" s="91">
        <f>P$7</f>
        <v>3</v>
      </c>
      <c r="Q144" s="86"/>
      <c r="R144" s="79" t="s">
        <v>15</v>
      </c>
    </row>
    <row r="145" spans="2:18" ht="15" customHeight="1" x14ac:dyDescent="0.2">
      <c r="B145" s="6" t="s">
        <v>14</v>
      </c>
      <c r="C145" s="90"/>
      <c r="D145" s="35" t="str">
        <f>IFERROR(D$10/D$8,"")</f>
        <v/>
      </c>
      <c r="E145" s="35" t="str">
        <f>IFERROR(E$10/E$8,"")</f>
        <v/>
      </c>
      <c r="F145" s="35" t="str">
        <f>IFERROR(F$10/F$8,"")</f>
        <v/>
      </c>
      <c r="G145" s="99"/>
      <c r="H145" s="90"/>
      <c r="I145" s="35" t="str">
        <f>IFERROR(I$10/I$8,"")</f>
        <v/>
      </c>
      <c r="J145" s="35" t="str">
        <f>IFERROR(J$10/J$8,"")</f>
        <v/>
      </c>
      <c r="K145" s="35" t="str">
        <f>IFERROR(K$10/K$8,"")</f>
        <v/>
      </c>
      <c r="L145" s="99"/>
      <c r="M145" s="90"/>
      <c r="N145" s="35" t="str">
        <f>IFERROR(N$10/N$8,"")</f>
        <v/>
      </c>
      <c r="O145" s="35" t="str">
        <f>IFERROR(O$10/O$8,"")</f>
        <v/>
      </c>
      <c r="P145" s="35" t="str">
        <f>IFERROR(P$10/P$8,"")</f>
        <v/>
      </c>
      <c r="Q145" s="86"/>
      <c r="R145" s="85" t="s">
        <v>99</v>
      </c>
    </row>
    <row r="146" spans="2:18" ht="15" customHeight="1" x14ac:dyDescent="0.2">
      <c r="B146" s="6" t="s">
        <v>23</v>
      </c>
      <c r="C146" s="90"/>
      <c r="D146" s="35" t="str">
        <f>IFERROR(D$19/D$8,"")</f>
        <v/>
      </c>
      <c r="E146" s="35" t="str">
        <f>IFERROR(E$19/E$8,"")</f>
        <v/>
      </c>
      <c r="F146" s="35" t="str">
        <f>IFERROR(F$19/F$8,"")</f>
        <v/>
      </c>
      <c r="G146" s="99"/>
      <c r="H146" s="90"/>
      <c r="I146" s="35" t="str">
        <f>IFERROR(I$19/I$8,"")</f>
        <v/>
      </c>
      <c r="J146" s="35" t="str">
        <f>IFERROR(J$19/J$8,"")</f>
        <v/>
      </c>
      <c r="K146" s="35" t="str">
        <f>IFERROR(K$19/K$8,"")</f>
        <v/>
      </c>
      <c r="L146" s="99"/>
      <c r="M146" s="90"/>
      <c r="N146" s="35" t="str">
        <f>IFERROR(N$19/N$8,"")</f>
        <v/>
      </c>
      <c r="O146" s="35" t="str">
        <f>IFERROR(O$19/O$8,"")</f>
        <v/>
      </c>
      <c r="P146" s="35" t="str">
        <f>IFERROR(P$19/P$8,"")</f>
        <v/>
      </c>
      <c r="Q146" s="86"/>
      <c r="R146" s="85" t="s">
        <v>100</v>
      </c>
    </row>
    <row r="147" spans="2:18" ht="15" customHeight="1" x14ac:dyDescent="0.2">
      <c r="B147" s="6" t="s">
        <v>58</v>
      </c>
      <c r="C147" s="90"/>
      <c r="D147" s="35" t="str">
        <f>IFERROR(D$19*(1-$U$2)/D$8,"")</f>
        <v/>
      </c>
      <c r="E147" s="35" t="str">
        <f>IFERROR(E$19*(1-$U$2)/E$8,"")</f>
        <v/>
      </c>
      <c r="F147" s="35" t="str">
        <f>IFERROR(F$19*(1-$U$2)/F$8,"")</f>
        <v/>
      </c>
      <c r="G147" s="99"/>
      <c r="H147" s="90"/>
      <c r="I147" s="35" t="str">
        <f>IFERROR(I$19*(1-$U$2)/I$8,"")</f>
        <v/>
      </c>
      <c r="J147" s="35" t="str">
        <f>IFERROR(J$19*(1-$U$2)/J$8,"")</f>
        <v/>
      </c>
      <c r="K147" s="35" t="str">
        <f>IFERROR(K$19*(1-$U$2)/K$8,"")</f>
        <v/>
      </c>
      <c r="L147" s="99"/>
      <c r="M147" s="90"/>
      <c r="N147" s="35" t="str">
        <f>IFERROR(N$19*(1-$U$2)/N$8,"")</f>
        <v/>
      </c>
      <c r="O147" s="35" t="str">
        <f>IFERROR(O$19*(1-$U$2)/O$8,"")</f>
        <v/>
      </c>
      <c r="P147" s="35" t="str">
        <f>IFERROR(P$19*(1-$U$2)/P$8,"")</f>
        <v/>
      </c>
      <c r="Q147" s="86"/>
      <c r="R147" s="85" t="s">
        <v>101</v>
      </c>
    </row>
    <row r="148" spans="2:18" ht="15" customHeight="1" x14ac:dyDescent="0.2">
      <c r="B148" s="6" t="s">
        <v>24</v>
      </c>
      <c r="C148" s="90"/>
      <c r="D148" s="35" t="str">
        <f>IFERROR(D$25/D$8,"")</f>
        <v/>
      </c>
      <c r="E148" s="35" t="str">
        <f>IFERROR(E$25/E$8,"")</f>
        <v/>
      </c>
      <c r="F148" s="35" t="str">
        <f>IFERROR(F$25/F$8,"")</f>
        <v/>
      </c>
      <c r="G148" s="99"/>
      <c r="H148" s="90"/>
      <c r="I148" s="35" t="str">
        <f>IFERROR(I$25/I$8,"")</f>
        <v/>
      </c>
      <c r="J148" s="35" t="str">
        <f>IFERROR(J$25/J$8,"")</f>
        <v/>
      </c>
      <c r="K148" s="35" t="str">
        <f>IFERROR(K$25/K$8,"")</f>
        <v/>
      </c>
      <c r="L148" s="99"/>
      <c r="M148" s="90"/>
      <c r="N148" s="35" t="str">
        <f>IFERROR(N$25/N$8,"")</f>
        <v/>
      </c>
      <c r="O148" s="35" t="str">
        <f>IFERROR(O$25/O$8,"")</f>
        <v/>
      </c>
      <c r="P148" s="35" t="str">
        <f>IFERROR(P$25/P$8,"")</f>
        <v/>
      </c>
      <c r="Q148" s="86"/>
      <c r="R148" s="85" t="s">
        <v>87</v>
      </c>
    </row>
    <row r="149" spans="2:18" ht="15" customHeight="1" x14ac:dyDescent="0.2">
      <c r="B149" s="11"/>
      <c r="C149" s="11"/>
      <c r="D149" s="10"/>
      <c r="E149" s="10"/>
      <c r="F149" s="10"/>
      <c r="H149" s="11"/>
      <c r="I149" s="10"/>
      <c r="J149" s="10"/>
      <c r="K149" s="10"/>
      <c r="M149" s="11"/>
      <c r="N149" s="10"/>
      <c r="O149" s="10"/>
      <c r="P149" s="10"/>
      <c r="R149" s="48"/>
    </row>
    <row r="150" spans="2:18" ht="15" customHeight="1" x14ac:dyDescent="0.2">
      <c r="B150" s="12" t="s">
        <v>78</v>
      </c>
      <c r="C150" s="12"/>
      <c r="D150" s="10"/>
      <c r="E150" s="10"/>
      <c r="F150" s="10"/>
      <c r="H150" s="12"/>
      <c r="I150" s="10"/>
      <c r="J150" s="10"/>
      <c r="K150" s="10"/>
      <c r="M150" s="12"/>
      <c r="N150" s="10"/>
      <c r="O150" s="10"/>
      <c r="P150" s="10"/>
      <c r="R150" s="48"/>
    </row>
    <row r="151" spans="2:18" ht="15" customHeight="1" x14ac:dyDescent="0.2">
      <c r="B151" s="33"/>
      <c r="C151" s="33"/>
      <c r="D151" s="91">
        <f>D$7</f>
        <v>1</v>
      </c>
      <c r="E151" s="91">
        <f>E$7</f>
        <v>2</v>
      </c>
      <c r="F151" s="91">
        <f>F$7</f>
        <v>3</v>
      </c>
      <c r="G151" s="99"/>
      <c r="H151" s="33"/>
      <c r="I151" s="91">
        <f>I$7</f>
        <v>1</v>
      </c>
      <c r="J151" s="91">
        <f>J$7</f>
        <v>2</v>
      </c>
      <c r="K151" s="91">
        <f>K$7</f>
        <v>3</v>
      </c>
      <c r="L151" s="99"/>
      <c r="M151" s="33"/>
      <c r="N151" s="91">
        <f>N$7</f>
        <v>1</v>
      </c>
      <c r="O151" s="91">
        <f>O$7</f>
        <v>2</v>
      </c>
      <c r="P151" s="91">
        <f>P$7</f>
        <v>3</v>
      </c>
      <c r="Q151" s="86"/>
      <c r="R151" s="79" t="s">
        <v>15</v>
      </c>
    </row>
    <row r="152" spans="2:18" ht="15" customHeight="1" x14ac:dyDescent="0.2">
      <c r="B152" s="6" t="s">
        <v>27</v>
      </c>
      <c r="C152" s="90"/>
      <c r="D152" s="36" t="str">
        <f t="shared" ref="D152:E152" si="98">IFERROR(IF(D$8="","",D$8/AVERAGE(C$53:D$53)),"")</f>
        <v/>
      </c>
      <c r="E152" s="36" t="str">
        <f t="shared" si="98"/>
        <v/>
      </c>
      <c r="F152" s="36" t="str">
        <f>IFERROR(IF(F$8="","",F$8/AVERAGE(E$53:F$53)),"")</f>
        <v/>
      </c>
      <c r="G152" s="99"/>
      <c r="H152" s="90"/>
      <c r="I152" s="36" t="str">
        <f t="shared" ref="I152:J152" si="99">IFERROR(IF(I$8="","",I$8/AVERAGE(H$53:I$53)),"")</f>
        <v/>
      </c>
      <c r="J152" s="36" t="str">
        <f t="shared" si="99"/>
        <v/>
      </c>
      <c r="K152" s="36" t="str">
        <f>IFERROR(IF(K$8="","",K$8/AVERAGE(J$53:K$53)),"")</f>
        <v/>
      </c>
      <c r="L152" s="99"/>
      <c r="M152" s="90"/>
      <c r="N152" s="36" t="str">
        <f t="shared" ref="N152:O152" si="100">IFERROR(IF(N$8="","",N$8/AVERAGE(M$53:N$53)),"")</f>
        <v/>
      </c>
      <c r="O152" s="36" t="str">
        <f t="shared" si="100"/>
        <v/>
      </c>
      <c r="P152" s="36" t="str">
        <f>IFERROR(IF(P$8="","",P$8/AVERAGE(O$53:P$53)),"")</f>
        <v/>
      </c>
      <c r="Q152" s="86"/>
      <c r="R152" s="85" t="s">
        <v>102</v>
      </c>
    </row>
    <row r="153" spans="2:18" ht="15" customHeight="1" x14ac:dyDescent="0.2">
      <c r="B153" s="6" t="s">
        <v>30</v>
      </c>
      <c r="C153" s="90"/>
      <c r="D153" s="9" t="str">
        <f t="shared" ref="D153:E153" si="101">IFERROR(AVERAGE(C$53:D$53)/(D$8/$U$3),"")</f>
        <v/>
      </c>
      <c r="E153" s="9" t="str">
        <f t="shared" si="101"/>
        <v/>
      </c>
      <c r="F153" s="9" t="str">
        <f>IFERROR(AVERAGE(E$53:F$53)/(F$8/$U$3),"")</f>
        <v/>
      </c>
      <c r="G153" s="99"/>
      <c r="H153" s="90"/>
      <c r="I153" s="9" t="str">
        <f t="shared" ref="I153:J153" si="102">IFERROR(AVERAGE(H$53:I$53)/(I$8/$U$3),"")</f>
        <v/>
      </c>
      <c r="J153" s="9" t="str">
        <f t="shared" si="102"/>
        <v/>
      </c>
      <c r="K153" s="9" t="str">
        <f>IFERROR(AVERAGE(J$53:K$53)/(K$8/$U$3),"")</f>
        <v/>
      </c>
      <c r="L153" s="99"/>
      <c r="M153" s="90"/>
      <c r="N153" s="9" t="str">
        <f t="shared" ref="N153:O153" si="103">IFERROR(AVERAGE(M$53:N$53)/(N$8/$U$3),"")</f>
        <v/>
      </c>
      <c r="O153" s="9" t="str">
        <f t="shared" si="103"/>
        <v/>
      </c>
      <c r="P153" s="9" t="str">
        <f>IFERROR(AVERAGE(O$53:P$53)/(P$8/$U$3),"")</f>
        <v/>
      </c>
      <c r="Q153" s="86"/>
      <c r="R153" s="85" t="s">
        <v>116</v>
      </c>
    </row>
    <row r="154" spans="2:18" ht="15" customHeight="1" x14ac:dyDescent="0.2">
      <c r="B154" s="6" t="s">
        <v>16</v>
      </c>
      <c r="C154" s="90"/>
      <c r="D154" s="36" t="str">
        <f t="shared" ref="D154:E154" si="104">IFERROR(IF(D$9="","",-D$9/AVERAGE(C$54:D$54)),"")</f>
        <v/>
      </c>
      <c r="E154" s="36" t="str">
        <f t="shared" si="104"/>
        <v/>
      </c>
      <c r="F154" s="36" t="str">
        <f>IFERROR(IF(F$9="","",-F$9/AVERAGE(E$54:F$54)),"")</f>
        <v/>
      </c>
      <c r="G154" s="99"/>
      <c r="H154" s="90"/>
      <c r="I154" s="36" t="str">
        <f t="shared" ref="I154:J154" si="105">IFERROR(IF(I$9="","",-I$9/AVERAGE(H$54:I$54)),"")</f>
        <v/>
      </c>
      <c r="J154" s="36" t="str">
        <f t="shared" si="105"/>
        <v/>
      </c>
      <c r="K154" s="36" t="str">
        <f>IFERROR(IF(K$9="","",-K$9/AVERAGE(J$54:K$54)),"")</f>
        <v/>
      </c>
      <c r="L154" s="99"/>
      <c r="M154" s="90"/>
      <c r="N154" s="36" t="str">
        <f t="shared" ref="N154:O154" si="106">IFERROR(IF(N$9="","",-N$9/AVERAGE(M$54:N$54)),"")</f>
        <v/>
      </c>
      <c r="O154" s="36" t="str">
        <f t="shared" si="106"/>
        <v/>
      </c>
      <c r="P154" s="36" t="str">
        <f>IFERROR(IF(P$9="","",-P$9/AVERAGE(O$54:P$54)),"")</f>
        <v/>
      </c>
      <c r="Q154" s="86"/>
      <c r="R154" s="85" t="s">
        <v>103</v>
      </c>
    </row>
    <row r="155" spans="2:18" ht="15" customHeight="1" x14ac:dyDescent="0.2">
      <c r="B155" s="6" t="s">
        <v>31</v>
      </c>
      <c r="C155" s="90"/>
      <c r="D155" s="9" t="str">
        <f t="shared" ref="D155:E155" si="107">IFERROR(AVERAGE(C$54:D$54)/(-D$9/$U$3),"")</f>
        <v/>
      </c>
      <c r="E155" s="9" t="str">
        <f t="shared" si="107"/>
        <v/>
      </c>
      <c r="F155" s="9" t="str">
        <f>IFERROR(AVERAGE(E$54:F$54)/(-F$9/$U$3),"")</f>
        <v/>
      </c>
      <c r="G155" s="99"/>
      <c r="H155" s="90"/>
      <c r="I155" s="9" t="str">
        <f t="shared" ref="I155:J155" si="108">IFERROR(AVERAGE(H$54:I$54)/(-I$9/$U$3),"")</f>
        <v/>
      </c>
      <c r="J155" s="9" t="str">
        <f t="shared" si="108"/>
        <v/>
      </c>
      <c r="K155" s="9" t="str">
        <f>IFERROR(AVERAGE(J$54:K$54)/(-K$9/$U$3),"")</f>
        <v/>
      </c>
      <c r="L155" s="99"/>
      <c r="M155" s="90"/>
      <c r="N155" s="9" t="str">
        <f t="shared" ref="N155:O155" si="109">IFERROR(AVERAGE(M$54:N$54)/(-N$9/$U$3),"")</f>
        <v/>
      </c>
      <c r="O155" s="9" t="str">
        <f t="shared" si="109"/>
        <v/>
      </c>
      <c r="P155" s="9" t="str">
        <f>IFERROR(AVERAGE(O$54:P$54)/(-P$9/$U$3),"")</f>
        <v/>
      </c>
      <c r="Q155" s="86"/>
      <c r="R155" s="85" t="s">
        <v>104</v>
      </c>
    </row>
    <row r="156" spans="2:18" ht="15" customHeight="1" x14ac:dyDescent="0.2">
      <c r="B156" s="6" t="s">
        <v>70</v>
      </c>
      <c r="C156" s="90"/>
      <c r="D156" s="36" t="str">
        <f t="shared" ref="D156:E156" si="110">IFERROR(IF(D$9="","",SUM(D$54,-C$54,-D$9,-D$14,-D$15,-D$17,D$61,-C$61))/AVERAGE(C$70:D$70),"")</f>
        <v/>
      </c>
      <c r="E156" s="36" t="str">
        <f t="shared" si="110"/>
        <v/>
      </c>
      <c r="F156" s="36" t="str">
        <f>IFERROR(IF(F$9="","",SUM(F$54,-E$54,-F$9,-F$14,-F$15,-F$17,F$61,-E$61))/AVERAGE(E$70:F$70),"")</f>
        <v/>
      </c>
      <c r="G156" s="99"/>
      <c r="H156" s="90"/>
      <c r="I156" s="36" t="str">
        <f t="shared" ref="I156:J156" si="111">IFERROR(IF(I$9="","",SUM(I$54,-H$54,-I$9,-I$14,-I$15,-I$17,I$61,-H$61))/AVERAGE(H$70:I$70),"")</f>
        <v/>
      </c>
      <c r="J156" s="36" t="str">
        <f t="shared" si="111"/>
        <v/>
      </c>
      <c r="K156" s="36" t="str">
        <f>IFERROR(IF(K$9="","",SUM(K$54,-J$54,-K$9,-K$14,-K$15,-K$17,K$61,-J$61))/AVERAGE(J$70:K$70),"")</f>
        <v/>
      </c>
      <c r="L156" s="99"/>
      <c r="M156" s="90"/>
      <c r="N156" s="36" t="str">
        <f t="shared" ref="N156:O156" si="112">IFERROR(IF(N$9="","",SUM(N$54,-M$54,-N$9,-N$14,-N$15,-N$17,N$61,-M$61))/AVERAGE(M$70:N$70),"")</f>
        <v/>
      </c>
      <c r="O156" s="36" t="str">
        <f t="shared" si="112"/>
        <v/>
      </c>
      <c r="P156" s="36" t="str">
        <f>IFERROR(IF(P$9="","",SUM(P$54,-O$54,-P$9,-P$14,-P$15,-P$17,P$61,-O$61))/AVERAGE(O$70:P$70),"")</f>
        <v/>
      </c>
      <c r="Q156" s="86"/>
      <c r="R156" s="85" t="s">
        <v>117</v>
      </c>
    </row>
    <row r="157" spans="2:18" ht="15" customHeight="1" x14ac:dyDescent="0.2">
      <c r="B157" s="6" t="s">
        <v>69</v>
      </c>
      <c r="C157" s="90"/>
      <c r="D157" s="9" t="str">
        <f t="shared" ref="D157:E157" si="113">IFERROR(IF(D$9="","",AVERAGE(C$70:D$70)/(SUM(D$54,-C$54,-D$9,-D$14,-D$15,-D$17,D$61,-C$61)/$U$3)),"")</f>
        <v/>
      </c>
      <c r="E157" s="9" t="str">
        <f t="shared" si="113"/>
        <v/>
      </c>
      <c r="F157" s="9" t="str">
        <f>IFERROR(IF(F$9="","",AVERAGE(E$70:F$70)/(SUM(F$54,-E$54,-F$9,-F$14,-F$15,-F$17,F$61,-E$61)/$U$3)),"")</f>
        <v/>
      </c>
      <c r="G157" s="99"/>
      <c r="H157" s="90"/>
      <c r="I157" s="9" t="str">
        <f t="shared" ref="I157:J157" si="114">IFERROR(IF(I$9="","",AVERAGE(H$70:I$70)/(SUM(I$54,-H$54,-I$9,-I$14,-I$15,-I$17,I$61,-H$61)/$U$3)),"")</f>
        <v/>
      </c>
      <c r="J157" s="9" t="str">
        <f t="shared" si="114"/>
        <v/>
      </c>
      <c r="K157" s="9" t="str">
        <f>IFERROR(IF(K$9="","",AVERAGE(J$70:K$70)/(SUM(K$54,-J$54,-K$9,-K$14,-K$15,-K$17,K$61,-J$61)/$U$3)),"")</f>
        <v/>
      </c>
      <c r="L157" s="99"/>
      <c r="M157" s="90"/>
      <c r="N157" s="9" t="str">
        <f t="shared" ref="N157:O157" si="115">IFERROR(IF(N$9="","",AVERAGE(M$70:N$70)/(SUM(N$54,-M$54,-N$9,-N$14,-N$15,-N$17,N$61,-M$61)/$U$3)),"")</f>
        <v/>
      </c>
      <c r="O157" s="9" t="str">
        <f t="shared" si="115"/>
        <v/>
      </c>
      <c r="P157" s="9" t="str">
        <f>IFERROR(IF(P$9="","",AVERAGE(O$70:P$70)/(SUM(P$54,-O$54,-P$9,-P$14,-P$15,-P$17,P$61,-O$61)/$U$3)),"")</f>
        <v/>
      </c>
      <c r="Q157" s="86"/>
      <c r="R157" s="85" t="s">
        <v>118</v>
      </c>
    </row>
    <row r="158" spans="2:18" ht="15" customHeight="1" x14ac:dyDescent="0.2">
      <c r="B158" s="6" t="s">
        <v>75</v>
      </c>
      <c r="C158" s="90"/>
      <c r="D158" s="9" t="str">
        <f t="shared" ref="D158:E158" si="116">IFERROR(SUM(D153,D155,-D157),"")</f>
        <v/>
      </c>
      <c r="E158" s="9" t="str">
        <f t="shared" si="116"/>
        <v/>
      </c>
      <c r="F158" s="9" t="str">
        <f t="shared" ref="F158" si="117">IFERROR(SUM(F153,F155,-F157),"")</f>
        <v/>
      </c>
      <c r="G158" s="99"/>
      <c r="H158" s="90"/>
      <c r="I158" s="9" t="str">
        <f t="shared" ref="I158:K158" si="118">IFERROR(SUM(I153,I155,-I157),"")</f>
        <v/>
      </c>
      <c r="J158" s="9" t="str">
        <f t="shared" si="118"/>
        <v/>
      </c>
      <c r="K158" s="9" t="str">
        <f t="shared" si="118"/>
        <v/>
      </c>
      <c r="L158" s="99"/>
      <c r="M158" s="90"/>
      <c r="N158" s="9" t="str">
        <f t="shared" ref="N158:P158" si="119">IFERROR(SUM(N153,N155,-N157),"")</f>
        <v/>
      </c>
      <c r="O158" s="9" t="str">
        <f t="shared" si="119"/>
        <v/>
      </c>
      <c r="P158" s="9" t="str">
        <f t="shared" si="119"/>
        <v/>
      </c>
      <c r="Q158" s="86"/>
      <c r="R158" s="43" t="s">
        <v>76</v>
      </c>
    </row>
    <row r="159" spans="2:18" ht="15" customHeight="1" x14ac:dyDescent="0.2">
      <c r="B159" s="6" t="s">
        <v>80</v>
      </c>
      <c r="C159" s="90"/>
      <c r="D159" s="36" t="str">
        <f t="shared" ref="D159:E159" si="120">IFERROR(IF(D$8="","",D$8/AVERAGE(C$64:D$64)),"")</f>
        <v/>
      </c>
      <c r="E159" s="36" t="str">
        <f t="shared" si="120"/>
        <v/>
      </c>
      <c r="F159" s="36" t="str">
        <f>IFERROR(IF(F$8="","",F$8/AVERAGE(E$64:F$64)),"")</f>
        <v/>
      </c>
      <c r="G159" s="99"/>
      <c r="H159" s="90"/>
      <c r="I159" s="36" t="str">
        <f t="shared" ref="I159:J159" si="121">IFERROR(IF(I$8="","",I$8/AVERAGE(H$64:I$64)),"")</f>
        <v/>
      </c>
      <c r="J159" s="36" t="str">
        <f t="shared" si="121"/>
        <v/>
      </c>
      <c r="K159" s="36" t="str">
        <f>IFERROR(IF(K$8="","",K$8/AVERAGE(J$64:K$64)),"")</f>
        <v/>
      </c>
      <c r="L159" s="99"/>
      <c r="M159" s="90"/>
      <c r="N159" s="36" t="str">
        <f t="shared" ref="N159:O159" si="122">IFERROR(IF(N$8="","",N$8/AVERAGE(M$64:N$64)),"")</f>
        <v/>
      </c>
      <c r="O159" s="36" t="str">
        <f t="shared" si="122"/>
        <v/>
      </c>
      <c r="P159" s="36" t="str">
        <f>IFERROR(IF(P$8="","",P$8/AVERAGE(O$64:P$64)),"")</f>
        <v/>
      </c>
      <c r="Q159" s="86"/>
      <c r="R159" s="85" t="s">
        <v>105</v>
      </c>
    </row>
    <row r="160" spans="2:18" ht="15" customHeight="1" x14ac:dyDescent="0.2">
      <c r="B160" s="6" t="s">
        <v>18</v>
      </c>
      <c r="C160" s="90"/>
      <c r="D160" s="36" t="str">
        <f t="shared" ref="D160:E160" si="123">IFERROR(IF(D$8="","",D$8/AVERAGE(C$66:D$66)),"")</f>
        <v/>
      </c>
      <c r="E160" s="36" t="str">
        <f t="shared" si="123"/>
        <v/>
      </c>
      <c r="F160" s="36" t="str">
        <f>IFERROR(IF(F$8="","",F$8/AVERAGE(E$66:F$66)),"")</f>
        <v/>
      </c>
      <c r="G160" s="99"/>
      <c r="H160" s="90"/>
      <c r="I160" s="36" t="str">
        <f t="shared" ref="I160:J160" si="124">IFERROR(IF(I$8="","",I$8/AVERAGE(H$66:I$66)),"")</f>
        <v/>
      </c>
      <c r="J160" s="36" t="str">
        <f t="shared" si="124"/>
        <v/>
      </c>
      <c r="K160" s="36" t="str">
        <f>IFERROR(IF(K$8="","",K$8/AVERAGE(J$66:K$66)),"")</f>
        <v/>
      </c>
      <c r="L160" s="99"/>
      <c r="M160" s="90"/>
      <c r="N160" s="36" t="str">
        <f t="shared" ref="N160:O160" si="125">IFERROR(IF(N$8="","",N$8/AVERAGE(M$66:N$66)),"")</f>
        <v/>
      </c>
      <c r="O160" s="36" t="str">
        <f t="shared" si="125"/>
        <v/>
      </c>
      <c r="P160" s="36" t="str">
        <f>IFERROR(IF(P$8="","",P$8/AVERAGE(O$66:P$66)),"")</f>
        <v/>
      </c>
      <c r="Q160" s="86"/>
      <c r="R160" s="85" t="s">
        <v>85</v>
      </c>
    </row>
    <row r="161" spans="2:18" ht="15" customHeight="1" x14ac:dyDescent="0.2">
      <c r="B161" s="11"/>
      <c r="C161" s="11"/>
      <c r="D161" s="10"/>
      <c r="E161" s="10"/>
      <c r="F161" s="10"/>
      <c r="H161" s="11"/>
      <c r="I161" s="10"/>
      <c r="J161" s="10"/>
      <c r="K161" s="10"/>
      <c r="M161" s="11"/>
      <c r="N161" s="10"/>
      <c r="O161" s="10"/>
      <c r="P161" s="10"/>
      <c r="R161" s="48"/>
    </row>
    <row r="162" spans="2:18" ht="15" customHeight="1" x14ac:dyDescent="0.2">
      <c r="B162" s="12" t="s">
        <v>57</v>
      </c>
      <c r="C162" s="12"/>
      <c r="D162" s="10"/>
      <c r="E162" s="10"/>
      <c r="F162" s="10"/>
      <c r="H162" s="12"/>
      <c r="I162" s="10"/>
      <c r="J162" s="10"/>
      <c r="K162" s="10"/>
      <c r="M162" s="12"/>
      <c r="N162" s="10"/>
      <c r="O162" s="10"/>
      <c r="P162" s="10"/>
      <c r="R162" s="48"/>
    </row>
    <row r="163" spans="2:18" ht="15" customHeight="1" x14ac:dyDescent="0.2">
      <c r="B163" s="33"/>
      <c r="C163" s="33"/>
      <c r="D163" s="91">
        <f>D$7</f>
        <v>1</v>
      </c>
      <c r="E163" s="91">
        <f>E$7</f>
        <v>2</v>
      </c>
      <c r="F163" s="91">
        <f>F$7</f>
        <v>3</v>
      </c>
      <c r="G163" s="99"/>
      <c r="H163" s="33"/>
      <c r="I163" s="91">
        <f>I$7</f>
        <v>1</v>
      </c>
      <c r="J163" s="91">
        <f>J$7</f>
        <v>2</v>
      </c>
      <c r="K163" s="91">
        <f>K$7</f>
        <v>3</v>
      </c>
      <c r="L163" s="99"/>
      <c r="M163" s="33"/>
      <c r="N163" s="91">
        <f>N$7</f>
        <v>1</v>
      </c>
      <c r="O163" s="91">
        <f>O$7</f>
        <v>2</v>
      </c>
      <c r="P163" s="91">
        <f>P$7</f>
        <v>3</v>
      </c>
      <c r="Q163" s="86"/>
      <c r="R163" s="79" t="s">
        <v>15</v>
      </c>
    </row>
    <row r="164" spans="2:18" ht="15" customHeight="1" x14ac:dyDescent="0.2">
      <c r="B164" s="6" t="s">
        <v>59</v>
      </c>
      <c r="C164" s="90"/>
      <c r="D164" s="37" t="str">
        <f t="shared" ref="D164:F164" si="126">IFERROR(IF(D$22&gt;0,"n/a",D$19/-D$22),"")</f>
        <v/>
      </c>
      <c r="E164" s="37" t="str">
        <f t="shared" si="126"/>
        <v/>
      </c>
      <c r="F164" s="37" t="str">
        <f t="shared" si="126"/>
        <v/>
      </c>
      <c r="G164" s="99"/>
      <c r="H164" s="90"/>
      <c r="I164" s="37" t="str">
        <f>IFERROR(IF(I$22&gt;0,"n/a",I$19/-I$22),"")</f>
        <v/>
      </c>
      <c r="J164" s="37" t="str">
        <f t="shared" ref="J164:K164" si="127">IFERROR(IF(J$22&gt;0,"n/a",J$19/-J$22),"")</f>
        <v/>
      </c>
      <c r="K164" s="37" t="str">
        <f t="shared" si="127"/>
        <v/>
      </c>
      <c r="L164" s="99"/>
      <c r="M164" s="90"/>
      <c r="N164" s="37" t="str">
        <f t="shared" ref="N164:P164" si="128">IFERROR(IF(N$22&gt;0,"n/a",N$19/-N$22),"")</f>
        <v/>
      </c>
      <c r="O164" s="37" t="str">
        <f t="shared" si="128"/>
        <v/>
      </c>
      <c r="P164" s="37" t="str">
        <f t="shared" si="128"/>
        <v/>
      </c>
      <c r="Q164" s="86"/>
      <c r="R164" s="85" t="s">
        <v>106</v>
      </c>
    </row>
    <row r="165" spans="2:18" ht="15" customHeight="1" x14ac:dyDescent="0.2">
      <c r="B165" s="6" t="s">
        <v>60</v>
      </c>
      <c r="C165" s="90"/>
      <c r="D165" s="37" t="str">
        <f>IFERROR(D$56/D$71,"")</f>
        <v/>
      </c>
      <c r="E165" s="37" t="str">
        <f>IFERROR(E$56/E$71,"")</f>
        <v/>
      </c>
      <c r="F165" s="37" t="str">
        <f>IFERROR(F$56/F$71,"")</f>
        <v/>
      </c>
      <c r="G165" s="99"/>
      <c r="H165" s="90"/>
      <c r="I165" s="37" t="str">
        <f>IFERROR(I$56/I$71,"")</f>
        <v/>
      </c>
      <c r="J165" s="37" t="str">
        <f>IFERROR(J$56/J$71,"")</f>
        <v/>
      </c>
      <c r="K165" s="37" t="str">
        <f>IFERROR(K$56/K$71,"")</f>
        <v/>
      </c>
      <c r="L165" s="99"/>
      <c r="M165" s="90"/>
      <c r="N165" s="37" t="str">
        <f>IFERROR(N$56/N$71,"")</f>
        <v/>
      </c>
      <c r="O165" s="37" t="str">
        <f>IFERROR(O$56/O$71,"")</f>
        <v/>
      </c>
      <c r="P165" s="37" t="str">
        <f>IFERROR(P$56/P$71,"")</f>
        <v/>
      </c>
      <c r="Q165" s="86"/>
      <c r="R165" s="85" t="s">
        <v>107</v>
      </c>
    </row>
    <row r="166" spans="2:18" ht="15" customHeight="1" x14ac:dyDescent="0.2">
      <c r="B166" s="6" t="s">
        <v>61</v>
      </c>
      <c r="C166" s="90"/>
      <c r="D166" s="36" t="str">
        <f>IFERROR((D$52+D$53)/D$71,"")</f>
        <v/>
      </c>
      <c r="E166" s="36" t="str">
        <f>IFERROR((E$52+E$53)/E$71,"")</f>
        <v/>
      </c>
      <c r="F166" s="36" t="str">
        <f>IFERROR((F$52+F$53)/F$71,"")</f>
        <v/>
      </c>
      <c r="G166" s="99"/>
      <c r="H166" s="90"/>
      <c r="I166" s="36" t="str">
        <f>IFERROR((I$52+I$53)/I$71,"")</f>
        <v/>
      </c>
      <c r="J166" s="36" t="str">
        <f>IFERROR((J$52+J$53)/J$71,"")</f>
        <v/>
      </c>
      <c r="K166" s="36" t="str">
        <f>IFERROR((K$52+K$53)/K$71,"")</f>
        <v/>
      </c>
      <c r="L166" s="99"/>
      <c r="M166" s="90"/>
      <c r="N166" s="36" t="str">
        <f>IFERROR((N$52+N$53)/N$71,"")</f>
        <v/>
      </c>
      <c r="O166" s="36" t="str">
        <f>IFERROR((O$52+O$53)/O$71,"")</f>
        <v/>
      </c>
      <c r="P166" s="36" t="str">
        <f>IFERROR((P$52+P$53)/P$71,"")</f>
        <v/>
      </c>
      <c r="Q166" s="86"/>
      <c r="R166" s="85" t="s">
        <v>108</v>
      </c>
    </row>
    <row r="167" spans="2:18" ht="15" customHeight="1" x14ac:dyDescent="0.2">
      <c r="B167" s="6" t="s">
        <v>62</v>
      </c>
      <c r="C167" s="90"/>
      <c r="D167" s="36" t="str">
        <f>IFERROR(D$73/D$79,"")</f>
        <v/>
      </c>
      <c r="E167" s="36" t="str">
        <f>IFERROR(E$73/E$79,"")</f>
        <v/>
      </c>
      <c r="F167" s="36" t="str">
        <f>IFERROR(F$73/F$79,"")</f>
        <v/>
      </c>
      <c r="G167" s="99"/>
      <c r="H167" s="90"/>
      <c r="I167" s="36" t="str">
        <f>IFERROR(I$73/I$79,"")</f>
        <v/>
      </c>
      <c r="J167" s="36" t="str">
        <f>IFERROR(J$73/J$79,"")</f>
        <v/>
      </c>
      <c r="K167" s="36" t="str">
        <f>IFERROR(K$73/K$79,"")</f>
        <v/>
      </c>
      <c r="L167" s="99"/>
      <c r="M167" s="90"/>
      <c r="N167" s="36" t="str">
        <f>IFERROR(N$73/N$79,"")</f>
        <v/>
      </c>
      <c r="O167" s="36" t="str">
        <f>IFERROR(O$73/O$79,"")</f>
        <v/>
      </c>
      <c r="P167" s="36" t="str">
        <f>IFERROR(P$73/P$79,"")</f>
        <v/>
      </c>
      <c r="Q167" s="86"/>
      <c r="R167" s="85" t="s">
        <v>109</v>
      </c>
    </row>
    <row r="168" spans="2:18" ht="15" customHeight="1" x14ac:dyDescent="0.2">
      <c r="B168" s="6" t="s">
        <v>63</v>
      </c>
      <c r="C168" s="90"/>
      <c r="D168" s="36" t="str">
        <f>IFERROR(D$73/D$66,"")</f>
        <v/>
      </c>
      <c r="E168" s="36" t="str">
        <f>IFERROR(E$73/E$66,"")</f>
        <v/>
      </c>
      <c r="F168" s="36" t="str">
        <f>IFERROR(F$73/F$66,"")</f>
        <v/>
      </c>
      <c r="G168" s="99"/>
      <c r="H168" s="90"/>
      <c r="I168" s="36" t="str">
        <f>IFERROR(I$73/I$66,"")</f>
        <v/>
      </c>
      <c r="J168" s="36" t="str">
        <f>IFERROR(J$73/J$66,"")</f>
        <v/>
      </c>
      <c r="K168" s="36" t="str">
        <f>IFERROR(K$73/K$66,"")</f>
        <v/>
      </c>
      <c r="L168" s="99"/>
      <c r="M168" s="90"/>
      <c r="N168" s="36" t="str">
        <f>IFERROR(N$73/N$66,"")</f>
        <v/>
      </c>
      <c r="O168" s="36" t="str">
        <f>IFERROR(O$73/O$66,"")</f>
        <v/>
      </c>
      <c r="P168" s="36" t="str">
        <f>IFERROR(P$73/P$66,"")</f>
        <v/>
      </c>
      <c r="Q168" s="86"/>
      <c r="R168" s="85" t="s">
        <v>110</v>
      </c>
    </row>
    <row r="169" spans="2:18" ht="15" customHeight="1" x14ac:dyDescent="0.2"/>
    <row r="170" spans="2:18" ht="15" customHeight="1" x14ac:dyDescent="0.2"/>
    <row r="171" spans="2:18" ht="15" customHeight="1" x14ac:dyDescent="0.2"/>
    <row r="172" spans="2:18" ht="15" customHeight="1" x14ac:dyDescent="0.2"/>
    <row r="173" spans="2:18" ht="15" customHeight="1" x14ac:dyDescent="0.2"/>
    <row r="174" spans="2:18" ht="15" customHeight="1" x14ac:dyDescent="0.2"/>
    <row r="175" spans="2:18" ht="15" customHeight="1" x14ac:dyDescent="0.2"/>
    <row r="176" spans="2:18" ht="15" customHeight="1" x14ac:dyDescent="0.2"/>
    <row r="177" ht="15" customHeight="1" x14ac:dyDescent="0.2"/>
  </sheetData>
  <sheetProtection formatColumns="0" formatRows="0"/>
  <mergeCells count="3">
    <mergeCell ref="C5:F5"/>
    <mergeCell ref="H5:K5"/>
    <mergeCell ref="M5:P5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Financial Statement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Venturesome Consulting, LLC</dc:creator>
  <cp:lastModifiedBy>Fitzgerald, Kathleen</cp:lastModifiedBy>
  <dcterms:created xsi:type="dcterms:W3CDTF">2019-07-24T02:28:43Z</dcterms:created>
  <dcterms:modified xsi:type="dcterms:W3CDTF">2025-04-15T02:48:00Z</dcterms:modified>
</cp:coreProperties>
</file>