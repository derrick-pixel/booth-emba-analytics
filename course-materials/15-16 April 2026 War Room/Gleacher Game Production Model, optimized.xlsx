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errickteo/codings/booth_total/15-16 April 2026 War Room/"/>
    </mc:Choice>
  </mc:AlternateContent>
  <xr:revisionPtr revIDLastSave="0" documentId="13_ncr:1_{1D9BEA88-070F-A541-8482-A88A4829AAE7}" xr6:coauthVersionLast="47" xr6:coauthVersionMax="47" xr10:uidLastSave="{00000000-0000-0000-0000-000000000000}"/>
  <bookViews>
    <workbookView xWindow="0" yWindow="680" windowWidth="34200" windowHeight="19640" activeTab="1" xr2:uid="{00000000-000D-0000-FFFF-FFFF00000000}"/>
  </bookViews>
  <sheets>
    <sheet name="Instructions" sheetId="1" r:id="rId1"/>
    <sheet name="C-D Model" sheetId="2" r:id="rId2"/>
    <sheet name="Contribution Margin Table" sheetId="4" r:id="rId3"/>
    <sheet name="Initial Parameters" sheetId="3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Bangladesh_Taxes">'[1]General Assumptions'!$B$8</definedName>
    <definedName name="Business_Manager">'[1](BD) Staff'!$D$5</definedName>
    <definedName name="ConfSwitch">[2]Assumptions!$C$8</definedName>
    <definedName name="Conveyance_Allowance">'[1](BD) Staff'!$D$12</definedName>
    <definedName name="costs_per_show">'[1](US) S&amp;M Karima'!$B$58</definedName>
    <definedName name="Day_Care_Manager">'[1](BD) Staff'!$D$7</definedName>
    <definedName name="Design_Manager">'[1](BD) Staff'!$D$8</definedName>
    <definedName name="Festival_Bonus">'[1](BD) Staff'!$D$14</definedName>
    <definedName name="Hours_per_Worker_per_Week">'[3]Wage Workers'!$B$7</definedName>
    <definedName name="Housing_Allowance">'[1](BD) Staff'!$D$10</definedName>
    <definedName name="Housing_Allowance_per_Month">[3]Staff!$C$9</definedName>
    <definedName name="HTML_CodePage">1252</definedName>
    <definedName name="HTML_Control">{"'Sheet1'!$A$1:$G$85"}</definedName>
    <definedName name="HTML_Description">""</definedName>
    <definedName name="HTML_Email">""</definedName>
    <definedName name="HTML_Header">"Sheet1"</definedName>
    <definedName name="HTML_LastUpdate">"2/24/99"</definedName>
    <definedName name="HTML_LineAfter">TRUE</definedName>
    <definedName name="HTML_LineBefore">TRUE</definedName>
    <definedName name="HTML_Name">"Aswath Damodaran"</definedName>
    <definedName name="HTML_OBDlg2">TRUE</definedName>
    <definedName name="HTML_OBDlg4">TRUE</definedName>
    <definedName name="HTML_OS">1</definedName>
    <definedName name="HTML_PathFileMac">"Macintosh HD:HomePageStuff:New_Home_Page:datafile:histret.html"</definedName>
    <definedName name="HTML_Title">"Historical Returns on Stocks, Bonds and Bills"</definedName>
    <definedName name="HTML1_1">"[ReturnsHistorical]Sheet1!$A$1:$D$77"</definedName>
    <definedName name="HTML1_10">""</definedName>
    <definedName name="HTML1_11">1</definedName>
    <definedName name="HTML1_12">"Zip 100:New_Home_Page:datafile:histret.html"</definedName>
    <definedName name="HTML1_2">1</definedName>
    <definedName name="HTML1_3">"ReturnsHistorical"</definedName>
    <definedName name="HTML1_4">"Historical Returns on Stocks, Bonds and Bills"</definedName>
    <definedName name="HTML1_5">"Ibbotson Data"</definedName>
    <definedName name="HTML1_6">-4146</definedName>
    <definedName name="HTML1_7">-4146</definedName>
    <definedName name="HTML1_8">"3/17/97"</definedName>
    <definedName name="HTML1_9">"Aswath Damodaran"</definedName>
    <definedName name="HTML2_1">"[histret.xls]Sheet1!$A$1:$G$85"</definedName>
    <definedName name="HTML2_10">""</definedName>
    <definedName name="HTML2_11">1</definedName>
    <definedName name="HTML2_12">"Macintosh HD:New_Home_Page:datafile:histret.html"</definedName>
    <definedName name="HTML2_2">1</definedName>
    <definedName name="HTML2_3">"Historical Returns"</definedName>
    <definedName name="HTML2_4">"Historical Returns on Stocks, Bonds and Bills"</definedName>
    <definedName name="HTML2_5">""</definedName>
    <definedName name="HTML2_6">1</definedName>
    <definedName name="HTML2_7">1</definedName>
    <definedName name="HTML2_8">"2/3/98"</definedName>
    <definedName name="HTML2_9">"Aswath Damodaran"</definedName>
    <definedName name="HTMLCount">2</definedName>
    <definedName name="Medical_Cost">'[1](BD) Staff'!$D$13</definedName>
    <definedName name="Months_per_Year">[4]Assumptions!$CB$3</definedName>
    <definedName name="Production_Manager">'[1](BD) Staff'!$D$6</definedName>
    <definedName name="ProjName">'[5]Control Panel'!$D$7</definedName>
    <definedName name="Retirement_Allowance">'[1](BD) Staff'!$D$11</definedName>
    <definedName name="sale_per_show">'[1](US) S&amp;M Karima'!$B$60</definedName>
    <definedName name="solver_cvg" localSheetId="1">0.0001</definedName>
    <definedName name="solver_drv" localSheetId="1">1</definedName>
    <definedName name="solver_eng" localSheetId="1">1</definedName>
    <definedName name="solver_est" localSheetId="1">1</definedName>
    <definedName name="solver_itr" localSheetId="1">2147483647</definedName>
    <definedName name="solver_lhs1" localSheetId="1">'C-D Model'!$C$4</definedName>
    <definedName name="solver_lhs10" localSheetId="1">#REF!</definedName>
    <definedName name="solver_lhs11" localSheetId="1">#REF!</definedName>
    <definedName name="solver_lhs12" localSheetId="1">#REF!</definedName>
    <definedName name="solver_lhs2" localSheetId="1">'C-D Model'!$C$4</definedName>
    <definedName name="solver_lhs3" localSheetId="1">'C-D Model'!#REF!</definedName>
    <definedName name="solver_lhs4" localSheetId="1">'C-D Model'!#REF!</definedName>
    <definedName name="solver_lhs5" localSheetId="1">'C-D Model'!$C$5</definedName>
    <definedName name="solver_lhs6" localSheetId="1">'C-D Model'!$C$5</definedName>
    <definedName name="solver_lhs7" localSheetId="1">'C-D Model'!$C$5</definedName>
    <definedName name="solver_lhs8" localSheetId="1">'C-D Model'!$C$5</definedName>
    <definedName name="solver_lhs9" localSheetId="1">#REF!</definedName>
    <definedName name="solver_mip" localSheetId="1">2147483647</definedName>
    <definedName name="solver_mni" localSheetId="1">30</definedName>
    <definedName name="solver_mrt" localSheetId="1">0.075</definedName>
    <definedName name="solver_msl" localSheetId="1">1</definedName>
    <definedName name="solver_neg" localSheetId="1">1</definedName>
    <definedName name="solver_nod" localSheetId="1">2147483647</definedName>
    <definedName name="solver_num" localSheetId="1">0</definedName>
    <definedName name="solver_nwt" localSheetId="1">1</definedName>
    <definedName name="solver_pre" localSheetId="1">0.000001</definedName>
    <definedName name="solver_rbv" localSheetId="1">1</definedName>
    <definedName name="solver_rel1" localSheetId="1">1</definedName>
    <definedName name="solver_rel10" localSheetId="1">2</definedName>
    <definedName name="solver_rel11" localSheetId="1">2</definedName>
    <definedName name="solver_rel12" localSheetId="1">2</definedName>
    <definedName name="solver_rel2" localSheetId="1">3</definedName>
    <definedName name="solver_rel3" localSheetId="1">1</definedName>
    <definedName name="solver_rel4" localSheetId="1">3</definedName>
    <definedName name="solver_rel5" localSheetId="1">2</definedName>
    <definedName name="solver_rel6" localSheetId="1">2</definedName>
    <definedName name="solver_rel7" localSheetId="1">2</definedName>
    <definedName name="solver_rel8" localSheetId="1">2</definedName>
    <definedName name="solver_rel9" localSheetId="1">2</definedName>
    <definedName name="solver_rhs1" localSheetId="1">100000</definedName>
    <definedName name="solver_rhs10" localSheetId="1">#REF!</definedName>
    <definedName name="solver_rhs11" localSheetId="1">#REF!</definedName>
    <definedName name="solver_rhs12" localSheetId="1">#REF!</definedName>
    <definedName name="solver_rhs2" localSheetId="1">1</definedName>
    <definedName name="solver_rhs3" localSheetId="1">100000000</definedName>
    <definedName name="solver_rhs4" localSheetId="1">1</definedName>
    <definedName name="solver_rhs5" localSheetId="1">'C-D Model'!$C$6</definedName>
    <definedName name="solver_rhs6" localSheetId="1">'C-D Model'!$C$6</definedName>
    <definedName name="solver_rhs7" localSheetId="1">'C-D Model'!$C$6</definedName>
    <definedName name="solver_rhs8" localSheetId="1">'C-D Model'!$C$6</definedName>
    <definedName name="solver_rhs9" localSheetId="1">#REF!</definedName>
    <definedName name="solver_rlx" localSheetId="1">2</definedName>
    <definedName name="solver_rsd" localSheetId="1">0</definedName>
    <definedName name="solver_scl" localSheetId="1">1</definedName>
    <definedName name="solver_sho" localSheetId="1">1</definedName>
    <definedName name="solver_ssz" localSheetId="1">100</definedName>
    <definedName name="solver_tim" localSheetId="1">2147483647</definedName>
    <definedName name="solver_tol" localSheetId="1">0.01</definedName>
    <definedName name="solver_typ" localSheetId="1">1</definedName>
    <definedName name="solver_val" localSheetId="1">0</definedName>
    <definedName name="solver_ver" localSheetId="1">3</definedName>
    <definedName name="Taka_per_Dollar">'[1]General Assumptions'!$B$5</definedName>
    <definedName name="Wage">'[1](BD) Workers'!$B$4</definedName>
    <definedName name="Weeks_per_Year">'[1]General Assumptions'!$B$7</definedName>
    <definedName name="Workers">'[1](BD) Workers'!$B$19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3WMYlvxxHT6SU7ugNDUN3azKIgKHNGeZPkWWa5IHsN0="/>
    </ext>
  </extLst>
</workbook>
</file>

<file path=xl/calcChain.xml><?xml version="1.0" encoding="utf-8"?>
<calcChain xmlns="http://schemas.openxmlformats.org/spreadsheetml/2006/main">
  <c r="U18" i="2" l="1"/>
  <c r="T42" i="2"/>
  <c r="T43" i="2"/>
  <c r="T44" i="2"/>
  <c r="T45" i="2"/>
  <c r="T46" i="2"/>
  <c r="H11" i="2"/>
  <c r="R36" i="2"/>
  <c r="Q36" i="2"/>
  <c r="P36" i="2"/>
  <c r="O36" i="2"/>
  <c r="N36" i="2"/>
  <c r="M36" i="2"/>
  <c r="L36" i="2"/>
  <c r="W3" i="2"/>
  <c r="T5" i="2"/>
  <c r="U5" i="2" s="1"/>
  <c r="B9" i="4"/>
  <c r="B10" i="4" s="1"/>
  <c r="T67" i="2"/>
  <c r="K67" i="2"/>
  <c r="B67" i="2"/>
  <c r="T66" i="2"/>
  <c r="K66" i="2"/>
  <c r="B66" i="2"/>
  <c r="T65" i="2"/>
  <c r="K65" i="2"/>
  <c r="B65" i="2"/>
  <c r="T64" i="2"/>
  <c r="K64" i="2"/>
  <c r="B64" i="2"/>
  <c r="T63" i="2"/>
  <c r="K63" i="2"/>
  <c r="B63" i="2"/>
  <c r="T62" i="2"/>
  <c r="K62" i="2"/>
  <c r="B62" i="2"/>
  <c r="T61" i="2"/>
  <c r="K61" i="2"/>
  <c r="B61" i="2"/>
  <c r="T60" i="2"/>
  <c r="K60" i="2"/>
  <c r="B60" i="2"/>
  <c r="T59" i="2"/>
  <c r="K59" i="2"/>
  <c r="B59" i="2"/>
  <c r="T58" i="2"/>
  <c r="K58" i="2"/>
  <c r="B58" i="2"/>
  <c r="T57" i="2"/>
  <c r="K57" i="2"/>
  <c r="B57" i="2"/>
  <c r="T56" i="2"/>
  <c r="K56" i="2"/>
  <c r="B56" i="2"/>
  <c r="T55" i="2"/>
  <c r="K55" i="2"/>
  <c r="B55" i="2"/>
  <c r="T54" i="2"/>
  <c r="K54" i="2"/>
  <c r="B54" i="2"/>
  <c r="AA53" i="2"/>
  <c r="Z53" i="2"/>
  <c r="Y53" i="2"/>
  <c r="X53" i="2"/>
  <c r="W53" i="2"/>
  <c r="V53" i="2"/>
  <c r="U53" i="2"/>
  <c r="R53" i="2"/>
  <c r="Q53" i="2"/>
  <c r="P53" i="2"/>
  <c r="O53" i="2"/>
  <c r="N53" i="2"/>
  <c r="M53" i="2"/>
  <c r="L53" i="2"/>
  <c r="I53" i="2"/>
  <c r="H53" i="2"/>
  <c r="G53" i="2"/>
  <c r="F53" i="2"/>
  <c r="E53" i="2"/>
  <c r="D53" i="2"/>
  <c r="C53" i="2"/>
  <c r="T50" i="2"/>
  <c r="K50" i="2"/>
  <c r="B50" i="2"/>
  <c r="T49" i="2"/>
  <c r="K49" i="2"/>
  <c r="B49" i="2"/>
  <c r="T48" i="2"/>
  <c r="K48" i="2"/>
  <c r="B48" i="2"/>
  <c r="K47" i="2"/>
  <c r="B47" i="2"/>
  <c r="K46" i="2"/>
  <c r="B46" i="2"/>
  <c r="K45" i="2"/>
  <c r="B45" i="2"/>
  <c r="K44" i="2"/>
  <c r="B44" i="2"/>
  <c r="K43" i="2"/>
  <c r="B43" i="2"/>
  <c r="K42" i="2"/>
  <c r="B42" i="2"/>
  <c r="T41" i="2"/>
  <c r="K41" i="2"/>
  <c r="B41" i="2"/>
  <c r="T40" i="2"/>
  <c r="K40" i="2"/>
  <c r="B40" i="2"/>
  <c r="T39" i="2"/>
  <c r="K39" i="2"/>
  <c r="B39" i="2"/>
  <c r="T38" i="2"/>
  <c r="K38" i="2"/>
  <c r="B38" i="2"/>
  <c r="T37" i="2"/>
  <c r="K37" i="2"/>
  <c r="B37" i="2"/>
  <c r="AA36" i="2"/>
  <c r="Z36" i="2"/>
  <c r="Y36" i="2"/>
  <c r="X36" i="2"/>
  <c r="W36" i="2"/>
  <c r="V36" i="2"/>
  <c r="U36" i="2"/>
  <c r="I36" i="2"/>
  <c r="H36" i="2"/>
  <c r="G36" i="2"/>
  <c r="F36" i="2"/>
  <c r="E36" i="2"/>
  <c r="D36" i="2"/>
  <c r="C36" i="2"/>
  <c r="K32" i="2"/>
  <c r="K31" i="2"/>
  <c r="K30" i="2"/>
  <c r="K29" i="2"/>
  <c r="F29" i="2"/>
  <c r="F47" i="2" s="1"/>
  <c r="F64" i="2" s="1"/>
  <c r="K28" i="2"/>
  <c r="I28" i="2"/>
  <c r="H28" i="2"/>
  <c r="K27" i="2"/>
  <c r="P27" i="2" s="1"/>
  <c r="D27" i="2"/>
  <c r="C27" i="2"/>
  <c r="K26" i="2"/>
  <c r="O26" i="2" s="1"/>
  <c r="I26" i="2"/>
  <c r="H26" i="2"/>
  <c r="G26" i="2"/>
  <c r="F26" i="2"/>
  <c r="E26" i="2"/>
  <c r="K25" i="2"/>
  <c r="I25" i="2"/>
  <c r="T24" i="2"/>
  <c r="U24" i="2" s="1"/>
  <c r="K24" i="2"/>
  <c r="E24" i="2"/>
  <c r="D24" i="2"/>
  <c r="C24" i="2"/>
  <c r="U23" i="2"/>
  <c r="T23" i="2"/>
  <c r="K23" i="2"/>
  <c r="E23" i="2"/>
  <c r="C23" i="2"/>
  <c r="T22" i="2"/>
  <c r="K22" i="2"/>
  <c r="R22" i="2" s="1"/>
  <c r="F22" i="2"/>
  <c r="F40" i="2" s="1"/>
  <c r="F57" i="2" s="1"/>
  <c r="E22" i="2"/>
  <c r="E40" i="2" s="1"/>
  <c r="E57" i="2" s="1"/>
  <c r="D22" i="2"/>
  <c r="D40" i="2" s="1"/>
  <c r="D57" i="2" s="1"/>
  <c r="C22" i="2"/>
  <c r="T21" i="2"/>
  <c r="R21" i="2"/>
  <c r="R39" i="2" s="1"/>
  <c r="R56" i="2" s="1"/>
  <c r="Q21" i="2"/>
  <c r="Q39" i="2" s="1"/>
  <c r="Q56" i="2" s="1"/>
  <c r="K21" i="2"/>
  <c r="T20" i="2"/>
  <c r="K20" i="2"/>
  <c r="P20" i="2" s="1"/>
  <c r="I20" i="2"/>
  <c r="H20" i="2"/>
  <c r="D20" i="2"/>
  <c r="T19" i="2"/>
  <c r="Y19" i="2" s="1"/>
  <c r="K19" i="2"/>
  <c r="I19" i="2"/>
  <c r="G19" i="2"/>
  <c r="G33" i="2" s="1"/>
  <c r="F19" i="2"/>
  <c r="F33" i="2" s="1"/>
  <c r="C19" i="2"/>
  <c r="C33" i="2" s="1"/>
  <c r="AA18" i="2"/>
  <c r="Z18" i="2"/>
  <c r="Y18" i="2"/>
  <c r="X18" i="2"/>
  <c r="W18" i="2"/>
  <c r="V18" i="2"/>
  <c r="N18" i="2"/>
  <c r="D7" i="2"/>
  <c r="G31" i="2" s="1"/>
  <c r="U27" i="2" l="1"/>
  <c r="U45" i="2" s="1"/>
  <c r="U62" i="2" s="1"/>
  <c r="Y28" i="2"/>
  <c r="Y46" i="2" s="1"/>
  <c r="Y63" i="2" s="1"/>
  <c r="Y32" i="2"/>
  <c r="Y50" i="2" s="1"/>
  <c r="Y67" i="2" s="1"/>
  <c r="Z31" i="2"/>
  <c r="Z49" i="2" s="1"/>
  <c r="Z66" i="2" s="1"/>
  <c r="V32" i="2"/>
  <c r="V50" i="2" s="1"/>
  <c r="V67" i="2" s="1"/>
  <c r="AA31" i="2"/>
  <c r="AA49" i="2" s="1"/>
  <c r="AA66" i="2" s="1"/>
  <c r="D42" i="2"/>
  <c r="D59" i="2" s="1"/>
  <c r="G37" i="2"/>
  <c r="G54" i="2" s="1"/>
  <c r="V30" i="2"/>
  <c r="V48" i="2" s="1"/>
  <c r="V65" i="2" s="1"/>
  <c r="R26" i="2"/>
  <c r="R44" i="2" s="1"/>
  <c r="R61" i="2" s="1"/>
  <c r="M24" i="2"/>
  <c r="M42" i="2" s="1"/>
  <c r="M59" i="2" s="1"/>
  <c r="AB6" i="2"/>
  <c r="AC6" i="2" s="1"/>
  <c r="AB7" i="2"/>
  <c r="AC7" i="2" s="1"/>
  <c r="AB8" i="2"/>
  <c r="AC8" i="2" s="1"/>
  <c r="AB9" i="2"/>
  <c r="AC9" i="2" s="1"/>
  <c r="AB10" i="2"/>
  <c r="AC10" i="2" s="1"/>
  <c r="AB11" i="2"/>
  <c r="AC11" i="2" s="1"/>
  <c r="T10" i="2"/>
  <c r="U10" i="2" s="1"/>
  <c r="T9" i="2"/>
  <c r="U9" i="2" s="1"/>
  <c r="T8" i="2"/>
  <c r="U8" i="2" s="1"/>
  <c r="T7" i="2"/>
  <c r="U7" i="2" s="1"/>
  <c r="T6" i="2"/>
  <c r="U6" i="2" s="1"/>
  <c r="AB5" i="2"/>
  <c r="AC5" i="2" s="1"/>
  <c r="M32" i="2"/>
  <c r="M50" i="2" s="1"/>
  <c r="M67" i="2" s="1"/>
  <c r="O32" i="2"/>
  <c r="V31" i="2"/>
  <c r="V49" i="2" s="1"/>
  <c r="V66" i="2" s="1"/>
  <c r="U31" i="2"/>
  <c r="U49" i="2" s="1"/>
  <c r="U66" i="2" s="1"/>
  <c r="P31" i="2"/>
  <c r="P49" i="2" s="1"/>
  <c r="P66" i="2" s="1"/>
  <c r="O31" i="2"/>
  <c r="V29" i="2"/>
  <c r="V47" i="2" s="1"/>
  <c r="V64" i="2" s="1"/>
  <c r="U29" i="2"/>
  <c r="U47" i="2" s="1"/>
  <c r="U64" i="2" s="1"/>
  <c r="AA28" i="2"/>
  <c r="AA46" i="2" s="1"/>
  <c r="AA63" i="2" s="1"/>
  <c r="W28" i="2"/>
  <c r="W46" i="2" s="1"/>
  <c r="W63" i="2" s="1"/>
  <c r="V28" i="2"/>
  <c r="V46" i="2" s="1"/>
  <c r="V63" i="2" s="1"/>
  <c r="U28" i="2"/>
  <c r="U46" i="2" s="1"/>
  <c r="U63" i="2" s="1"/>
  <c r="Z28" i="2"/>
  <c r="Z46" i="2" s="1"/>
  <c r="Z63" i="2" s="1"/>
  <c r="X28" i="2"/>
  <c r="X46" i="2" s="1"/>
  <c r="X63" i="2" s="1"/>
  <c r="U25" i="2"/>
  <c r="U43" i="2" s="1"/>
  <c r="U60" i="2" s="1"/>
  <c r="AA25" i="2"/>
  <c r="AA43" i="2" s="1"/>
  <c r="AA60" i="2" s="1"/>
  <c r="P25" i="2"/>
  <c r="P43" i="2" s="1"/>
  <c r="P60" i="2" s="1"/>
  <c r="O25" i="2"/>
  <c r="Q25" i="2"/>
  <c r="Q24" i="2"/>
  <c r="O24" i="2"/>
  <c r="P24" i="2"/>
  <c r="P42" i="2" s="1"/>
  <c r="P59" i="2" s="1"/>
  <c r="AA23" i="2"/>
  <c r="AA41" i="2" s="1"/>
  <c r="AA58" i="2" s="1"/>
  <c r="Z23" i="2"/>
  <c r="Z41" i="2" s="1"/>
  <c r="Z58" i="2" s="1"/>
  <c r="O23" i="2"/>
  <c r="P23" i="2"/>
  <c r="Q23" i="2"/>
  <c r="R23" i="2"/>
  <c r="R41" i="2" s="1"/>
  <c r="R58" i="2" s="1"/>
  <c r="Z22" i="2"/>
  <c r="Z40" i="2" s="1"/>
  <c r="Z57" i="2" s="1"/>
  <c r="Y22" i="2"/>
  <c r="Y40" i="2" s="1"/>
  <c r="Y57" i="2" s="1"/>
  <c r="AA22" i="2"/>
  <c r="AA40" i="2" s="1"/>
  <c r="AA57" i="2" s="1"/>
  <c r="U21" i="2"/>
  <c r="U39" i="2" s="1"/>
  <c r="U56" i="2" s="1"/>
  <c r="X21" i="2"/>
  <c r="X39" i="2" s="1"/>
  <c r="X56" i="2" s="1"/>
  <c r="AA21" i="2"/>
  <c r="AA39" i="2" s="1"/>
  <c r="AA56" i="2" s="1"/>
  <c r="Z21" i="2"/>
  <c r="Z39" i="2" s="1"/>
  <c r="Z56" i="2" s="1"/>
  <c r="Y21" i="2"/>
  <c r="Y39" i="2" s="1"/>
  <c r="Y56" i="2" s="1"/>
  <c r="V21" i="2"/>
  <c r="V39" i="2" s="1"/>
  <c r="V56" i="2" s="1"/>
  <c r="W21" i="2"/>
  <c r="W39" i="2" s="1"/>
  <c r="W56" i="2" s="1"/>
  <c r="M21" i="2"/>
  <c r="M39" i="2" s="1"/>
  <c r="M56" i="2" s="1"/>
  <c r="N21" i="2"/>
  <c r="N39" i="2" s="1"/>
  <c r="N56" i="2" s="1"/>
  <c r="O21" i="2"/>
  <c r="P21" i="2"/>
  <c r="P39" i="2" s="1"/>
  <c r="P56" i="2" s="1"/>
  <c r="L21" i="2"/>
  <c r="L39" i="2" s="1"/>
  <c r="L56" i="2" s="1"/>
  <c r="Z20" i="2"/>
  <c r="Z38" i="2" s="1"/>
  <c r="Z55" i="2" s="1"/>
  <c r="U20" i="2"/>
  <c r="U38" i="2" s="1"/>
  <c r="U55" i="2" s="1"/>
  <c r="V20" i="2"/>
  <c r="V38" i="2" s="1"/>
  <c r="V55" i="2" s="1"/>
  <c r="W20" i="2"/>
  <c r="W38" i="2" s="1"/>
  <c r="W55" i="2" s="1"/>
  <c r="X20" i="2"/>
  <c r="X38" i="2" s="1"/>
  <c r="X55" i="2" s="1"/>
  <c r="Y20" i="2"/>
  <c r="Y38" i="2" s="1"/>
  <c r="Y55" i="2" s="1"/>
  <c r="AA20" i="2"/>
  <c r="AA38" i="2" s="1"/>
  <c r="AA55" i="2" s="1"/>
  <c r="L19" i="2"/>
  <c r="L37" i="2" s="1"/>
  <c r="L54" i="2" s="1"/>
  <c r="M19" i="2"/>
  <c r="M37" i="2" s="1"/>
  <c r="M54" i="2" s="1"/>
  <c r="N19" i="2"/>
  <c r="N37" i="2" s="1"/>
  <c r="N54" i="2" s="1"/>
  <c r="O19" i="2"/>
  <c r="P19" i="2"/>
  <c r="P37" i="2" s="1"/>
  <c r="P54" i="2" s="1"/>
  <c r="Y31" i="2"/>
  <c r="Y49" i="2" s="1"/>
  <c r="Y66" i="2" s="1"/>
  <c r="Y30" i="2"/>
  <c r="Y48" i="2" s="1"/>
  <c r="Y65" i="2" s="1"/>
  <c r="B11" i="4"/>
  <c r="B12" i="4" s="1"/>
  <c r="X32" i="2"/>
  <c r="X50" i="2" s="1"/>
  <c r="X67" i="2" s="1"/>
  <c r="X30" i="2"/>
  <c r="X48" i="2" s="1"/>
  <c r="X65" i="2" s="1"/>
  <c r="X31" i="2"/>
  <c r="X49" i="2" s="1"/>
  <c r="X66" i="2" s="1"/>
  <c r="N31" i="2"/>
  <c r="N49" i="2" s="1"/>
  <c r="N66" i="2" s="1"/>
  <c r="N29" i="2"/>
  <c r="N47" i="2" s="1"/>
  <c r="N64" i="2" s="1"/>
  <c r="N32" i="2"/>
  <c r="N50" i="2" s="1"/>
  <c r="N67" i="2" s="1"/>
  <c r="N25" i="2"/>
  <c r="N43" i="2" s="1"/>
  <c r="N60" i="2" s="1"/>
  <c r="N24" i="2"/>
  <c r="N42" i="2" s="1"/>
  <c r="N59" i="2" s="1"/>
  <c r="E44" i="2"/>
  <c r="E61" i="2" s="1"/>
  <c r="W32" i="2"/>
  <c r="W50" i="2" s="1"/>
  <c r="W67" i="2" s="1"/>
  <c r="W31" i="2"/>
  <c r="W49" i="2" s="1"/>
  <c r="W66" i="2" s="1"/>
  <c r="P28" i="2"/>
  <c r="P46" i="2" s="1"/>
  <c r="P63" i="2" s="1"/>
  <c r="O28" i="2"/>
  <c r="N28" i="2"/>
  <c r="N46" i="2" s="1"/>
  <c r="N63" i="2" s="1"/>
  <c r="R28" i="2"/>
  <c r="R46" i="2" s="1"/>
  <c r="R63" i="2" s="1"/>
  <c r="Q28" i="2"/>
  <c r="Q46" i="2" s="1"/>
  <c r="Q63" i="2" s="1"/>
  <c r="M28" i="2"/>
  <c r="M46" i="2" s="1"/>
  <c r="M63" i="2" s="1"/>
  <c r="C42" i="2"/>
  <c r="C59" i="2" s="1"/>
  <c r="L28" i="2"/>
  <c r="L46" i="2" s="1"/>
  <c r="L63" i="2" s="1"/>
  <c r="R24" i="2"/>
  <c r="R42" i="2" s="1"/>
  <c r="R59" i="2" s="1"/>
  <c r="R29" i="2"/>
  <c r="R47" i="2" s="1"/>
  <c r="R64" i="2" s="1"/>
  <c r="E42" i="2"/>
  <c r="E59" i="2" s="1"/>
  <c r="L24" i="2"/>
  <c r="L42" i="2" s="1"/>
  <c r="L59" i="2" s="1"/>
  <c r="L29" i="2"/>
  <c r="L47" i="2" s="1"/>
  <c r="L64" i="2" s="1"/>
  <c r="AA19" i="2"/>
  <c r="AA37" i="2" s="1"/>
  <c r="AA54" i="2" s="1"/>
  <c r="Z19" i="2"/>
  <c r="Z37" i="2" s="1"/>
  <c r="Z54" i="2" s="1"/>
  <c r="X19" i="2"/>
  <c r="X37" i="2" s="1"/>
  <c r="X54" i="2" s="1"/>
  <c r="R30" i="2"/>
  <c r="R48" i="2" s="1"/>
  <c r="R65" i="2" s="1"/>
  <c r="Q30" i="2"/>
  <c r="P30" i="2"/>
  <c r="P48" i="2" s="1"/>
  <c r="P65" i="2" s="1"/>
  <c r="O30" i="2"/>
  <c r="O27" i="2"/>
  <c r="N27" i="2"/>
  <c r="N45" i="2" s="1"/>
  <c r="N62" i="2" s="1"/>
  <c r="M27" i="2"/>
  <c r="M45" i="2" s="1"/>
  <c r="M62" i="2" s="1"/>
  <c r="D44" i="2"/>
  <c r="D61" i="2" s="1"/>
  <c r="Y24" i="2"/>
  <c r="Y42" i="2" s="1"/>
  <c r="Y59" i="2" s="1"/>
  <c r="X24" i="2"/>
  <c r="X42" i="2" s="1"/>
  <c r="X59" i="2" s="1"/>
  <c r="W24" i="2"/>
  <c r="W42" i="2" s="1"/>
  <c r="W59" i="2" s="1"/>
  <c r="Q27" i="2"/>
  <c r="Q45" i="2" s="1"/>
  <c r="Q62" i="2" s="1"/>
  <c r="AA29" i="2"/>
  <c r="AA47" i="2" s="1"/>
  <c r="AA64" i="2" s="1"/>
  <c r="Z29" i="2"/>
  <c r="Z47" i="2" s="1"/>
  <c r="Z64" i="2" s="1"/>
  <c r="Y29" i="2"/>
  <c r="Y47" i="2" s="1"/>
  <c r="Y64" i="2" s="1"/>
  <c r="X29" i="2"/>
  <c r="X47" i="2" s="1"/>
  <c r="X64" i="2" s="1"/>
  <c r="U19" i="2"/>
  <c r="U37" i="2" s="1"/>
  <c r="U54" i="2" s="1"/>
  <c r="L30" i="2"/>
  <c r="L48" i="2" s="1"/>
  <c r="L65" i="2" s="1"/>
  <c r="W19" i="2"/>
  <c r="W37" i="2" s="1"/>
  <c r="W54" i="2" s="1"/>
  <c r="L27" i="2"/>
  <c r="L45" i="2" s="1"/>
  <c r="L62" i="2" s="1"/>
  <c r="N30" i="2"/>
  <c r="N48" i="2" s="1"/>
  <c r="N65" i="2" s="1"/>
  <c r="Z32" i="2"/>
  <c r="Z50" i="2" s="1"/>
  <c r="Z67" i="2" s="1"/>
  <c r="C37" i="2"/>
  <c r="C54" i="2" s="1"/>
  <c r="Y37" i="2"/>
  <c r="Y54" i="2" s="1"/>
  <c r="G44" i="2"/>
  <c r="G61" i="2" s="1"/>
  <c r="F44" i="2"/>
  <c r="F61" i="2" s="1"/>
  <c r="M25" i="2"/>
  <c r="M43" i="2" s="1"/>
  <c r="M60" i="2" s="1"/>
  <c r="V19" i="2"/>
  <c r="V37" i="2" s="1"/>
  <c r="V54" i="2" s="1"/>
  <c r="L22" i="2"/>
  <c r="L40" i="2" s="1"/>
  <c r="L57" i="2" s="1"/>
  <c r="V24" i="2"/>
  <c r="V42" i="2" s="1"/>
  <c r="V59" i="2" s="1"/>
  <c r="AA26" i="2"/>
  <c r="AA44" i="2" s="1"/>
  <c r="AA61" i="2" s="1"/>
  <c r="Z26" i="2"/>
  <c r="Z44" i="2" s="1"/>
  <c r="Z61" i="2" s="1"/>
  <c r="Y26" i="2"/>
  <c r="Y44" i="2" s="1"/>
  <c r="Y61" i="2" s="1"/>
  <c r="Z30" i="2"/>
  <c r="Z48" i="2" s="1"/>
  <c r="Z65" i="2" s="1"/>
  <c r="AA32" i="2"/>
  <c r="AA50" i="2" s="1"/>
  <c r="AA67" i="2" s="1"/>
  <c r="P45" i="2"/>
  <c r="P62" i="2" s="1"/>
  <c r="P38" i="2"/>
  <c r="P55" i="2" s="1"/>
  <c r="G49" i="2"/>
  <c r="G66" i="2" s="1"/>
  <c r="R20" i="2"/>
  <c r="R38" i="2" s="1"/>
  <c r="R55" i="2" s="1"/>
  <c r="Q20" i="2"/>
  <c r="Q38" i="2" s="1"/>
  <c r="Q55" i="2" s="1"/>
  <c r="O20" i="2"/>
  <c r="N22" i="2"/>
  <c r="N40" i="2" s="1"/>
  <c r="N57" i="2" s="1"/>
  <c r="N23" i="2"/>
  <c r="F24" i="2"/>
  <c r="F42" i="2" s="1"/>
  <c r="F59" i="2" s="1"/>
  <c r="Z24" i="2"/>
  <c r="Z42" i="2" s="1"/>
  <c r="Z59" i="2" s="1"/>
  <c r="U26" i="2"/>
  <c r="U44" i="2" s="1"/>
  <c r="U61" i="2" s="1"/>
  <c r="W29" i="2"/>
  <c r="W47" i="2" s="1"/>
  <c r="W64" i="2" s="1"/>
  <c r="AA30" i="2"/>
  <c r="AA48" i="2" s="1"/>
  <c r="AA65" i="2" s="1"/>
  <c r="H32" i="2"/>
  <c r="H50" i="2" s="1"/>
  <c r="H67" i="2" s="1"/>
  <c r="C45" i="2"/>
  <c r="C62" i="2" s="1"/>
  <c r="C38" i="2"/>
  <c r="C55" i="2" s="1"/>
  <c r="C41" i="2"/>
  <c r="C58" i="2" s="1"/>
  <c r="C40" i="2"/>
  <c r="C57" i="2" s="1"/>
  <c r="Q43" i="2"/>
  <c r="Q60" i="2" s="1"/>
  <c r="Q48" i="2"/>
  <c r="Q65" i="2" s="1"/>
  <c r="Q42" i="2"/>
  <c r="Q59" i="2" s="1"/>
  <c r="M29" i="2"/>
  <c r="M47" i="2" s="1"/>
  <c r="M64" i="2" s="1"/>
  <c r="L20" i="2"/>
  <c r="L38" i="2" s="1"/>
  <c r="L55" i="2" s="1"/>
  <c r="C21" i="2"/>
  <c r="C39" i="2" s="1"/>
  <c r="C56" i="2" s="1"/>
  <c r="G24" i="2"/>
  <c r="G42" i="2" s="1"/>
  <c r="G59" i="2" s="1"/>
  <c r="AA24" i="2"/>
  <c r="AA42" i="2" s="1"/>
  <c r="AA59" i="2" s="1"/>
  <c r="V26" i="2"/>
  <c r="V44" i="2" s="1"/>
  <c r="V61" i="2" s="1"/>
  <c r="E28" i="2"/>
  <c r="E46" i="2" s="1"/>
  <c r="E63" i="2" s="1"/>
  <c r="G30" i="2"/>
  <c r="G48" i="2" s="1"/>
  <c r="G65" i="2" s="1"/>
  <c r="C31" i="2"/>
  <c r="C49" i="2" s="1"/>
  <c r="C66" i="2" s="1"/>
  <c r="I32" i="2"/>
  <c r="I50" i="2" s="1"/>
  <c r="I67" i="2" s="1"/>
  <c r="D38" i="2"/>
  <c r="D55" i="2" s="1"/>
  <c r="D45" i="2"/>
  <c r="D62" i="2" s="1"/>
  <c r="R40" i="2"/>
  <c r="R57" i="2" s="1"/>
  <c r="F37" i="2"/>
  <c r="F54" i="2" s="1"/>
  <c r="L23" i="2"/>
  <c r="M20" i="2"/>
  <c r="M38" i="2" s="1"/>
  <c r="M55" i="2" s="1"/>
  <c r="E21" i="2"/>
  <c r="E39" i="2" s="1"/>
  <c r="E56" i="2" s="1"/>
  <c r="W22" i="2"/>
  <c r="W40" i="2" s="1"/>
  <c r="W57" i="2" s="1"/>
  <c r="V22" i="2"/>
  <c r="V40" i="2" s="1"/>
  <c r="V57" i="2" s="1"/>
  <c r="U22" i="2"/>
  <c r="U40" i="2" s="1"/>
  <c r="U57" i="2" s="1"/>
  <c r="H24" i="2"/>
  <c r="H42" i="2" s="1"/>
  <c r="H59" i="2" s="1"/>
  <c r="C25" i="2"/>
  <c r="C43" i="2" s="1"/>
  <c r="C60" i="2" s="1"/>
  <c r="C26" i="2"/>
  <c r="C44" i="2" s="1"/>
  <c r="C61" i="2" s="1"/>
  <c r="W26" i="2"/>
  <c r="W44" i="2" s="1"/>
  <c r="W61" i="2" s="1"/>
  <c r="F28" i="2"/>
  <c r="F46" i="2" s="1"/>
  <c r="F63" i="2" s="1"/>
  <c r="H30" i="2"/>
  <c r="H48" i="2" s="1"/>
  <c r="H65" i="2" s="1"/>
  <c r="R32" i="2"/>
  <c r="R50" i="2" s="1"/>
  <c r="R67" i="2" s="1"/>
  <c r="Q32" i="2"/>
  <c r="Q50" i="2" s="1"/>
  <c r="Q67" i="2" s="1"/>
  <c r="P32" i="2"/>
  <c r="P50" i="2" s="1"/>
  <c r="P67" i="2" s="1"/>
  <c r="E41" i="2"/>
  <c r="E58" i="2" s="1"/>
  <c r="U41" i="2"/>
  <c r="U58" i="2" s="1"/>
  <c r="M30" i="2"/>
  <c r="M48" i="2" s="1"/>
  <c r="M65" i="2" s="1"/>
  <c r="P22" i="2"/>
  <c r="P40" i="2" s="1"/>
  <c r="P57" i="2" s="1"/>
  <c r="O22" i="2"/>
  <c r="M22" i="2"/>
  <c r="M40" i="2" s="1"/>
  <c r="M57" i="2" s="1"/>
  <c r="Q22" i="2"/>
  <c r="Q40" i="2" s="1"/>
  <c r="Q57" i="2" s="1"/>
  <c r="R25" i="2"/>
  <c r="R43" i="2" s="1"/>
  <c r="R60" i="2" s="1"/>
  <c r="R27" i="2"/>
  <c r="R45" i="2" s="1"/>
  <c r="R62" i="2" s="1"/>
  <c r="M23" i="2"/>
  <c r="AA27" i="2"/>
  <c r="AA45" i="2" s="1"/>
  <c r="AA62" i="2" s="1"/>
  <c r="Z27" i="2"/>
  <c r="Z45" i="2" s="1"/>
  <c r="Z62" i="2" s="1"/>
  <c r="Y27" i="2"/>
  <c r="Y45" i="2" s="1"/>
  <c r="Y62" i="2" s="1"/>
  <c r="X27" i="2"/>
  <c r="X45" i="2" s="1"/>
  <c r="X62" i="2" s="1"/>
  <c r="W27" i="2"/>
  <c r="W45" i="2" s="1"/>
  <c r="W62" i="2" s="1"/>
  <c r="V27" i="2"/>
  <c r="V45" i="2" s="1"/>
  <c r="V62" i="2" s="1"/>
  <c r="G32" i="2"/>
  <c r="G50" i="2" s="1"/>
  <c r="G67" i="2" s="1"/>
  <c r="F31" i="2"/>
  <c r="F49" i="2" s="1"/>
  <c r="F66" i="2" s="1"/>
  <c r="E30" i="2"/>
  <c r="E48" i="2" s="1"/>
  <c r="E65" i="2" s="1"/>
  <c r="D29" i="2"/>
  <c r="C28" i="2"/>
  <c r="C46" i="2" s="1"/>
  <c r="C63" i="2" s="1"/>
  <c r="I22" i="2"/>
  <c r="H21" i="2"/>
  <c r="G20" i="2"/>
  <c r="G38" i="2" s="1"/>
  <c r="G55" i="2" s="1"/>
  <c r="F32" i="2"/>
  <c r="F50" i="2" s="1"/>
  <c r="F67" i="2" s="1"/>
  <c r="E31" i="2"/>
  <c r="E49" i="2" s="1"/>
  <c r="E66" i="2" s="1"/>
  <c r="D30" i="2"/>
  <c r="D48" i="2" s="1"/>
  <c r="D65" i="2" s="1"/>
  <c r="C29" i="2"/>
  <c r="C47" i="2" s="1"/>
  <c r="C64" i="2" s="1"/>
  <c r="I23" i="2"/>
  <c r="I41" i="2" s="1"/>
  <c r="I58" i="2" s="1"/>
  <c r="H22" i="2"/>
  <c r="H40" i="2" s="1"/>
  <c r="H57" i="2" s="1"/>
  <c r="G21" i="2"/>
  <c r="G39" i="2" s="1"/>
  <c r="G56" i="2" s="1"/>
  <c r="F20" i="2"/>
  <c r="F38" i="2" s="1"/>
  <c r="F55" i="2" s="1"/>
  <c r="E19" i="2"/>
  <c r="E32" i="2"/>
  <c r="E50" i="2" s="1"/>
  <c r="E67" i="2" s="1"/>
  <c r="D31" i="2"/>
  <c r="D49" i="2" s="1"/>
  <c r="D66" i="2" s="1"/>
  <c r="C30" i="2"/>
  <c r="C48" i="2" s="1"/>
  <c r="C65" i="2" s="1"/>
  <c r="I24" i="2"/>
  <c r="I42" i="2" s="1"/>
  <c r="I59" i="2" s="1"/>
  <c r="H23" i="2"/>
  <c r="H41" i="2" s="1"/>
  <c r="H58" i="2" s="1"/>
  <c r="G22" i="2"/>
  <c r="G40" i="2" s="1"/>
  <c r="G57" i="2" s="1"/>
  <c r="F21" i="2"/>
  <c r="F39" i="2" s="1"/>
  <c r="F56" i="2" s="1"/>
  <c r="E20" i="2"/>
  <c r="E38" i="2" s="1"/>
  <c r="E55" i="2" s="1"/>
  <c r="D19" i="2"/>
  <c r="C32" i="2"/>
  <c r="C50" i="2" s="1"/>
  <c r="C67" i="2" s="1"/>
  <c r="H27" i="2"/>
  <c r="H45" i="2" s="1"/>
  <c r="H62" i="2" s="1"/>
  <c r="G25" i="2"/>
  <c r="G43" i="2" s="1"/>
  <c r="G60" i="2" s="1"/>
  <c r="G23" i="2"/>
  <c r="G41" i="2" s="1"/>
  <c r="G58" i="2" s="1"/>
  <c r="I29" i="2"/>
  <c r="I47" i="2" s="1"/>
  <c r="I64" i="2" s="1"/>
  <c r="G27" i="2"/>
  <c r="G45" i="2" s="1"/>
  <c r="G62" i="2" s="1"/>
  <c r="F25" i="2"/>
  <c r="F43" i="2" s="1"/>
  <c r="F60" i="2" s="1"/>
  <c r="F23" i="2"/>
  <c r="F41" i="2" s="1"/>
  <c r="F58" i="2" s="1"/>
  <c r="I21" i="2"/>
  <c r="I39" i="2" s="1"/>
  <c r="I56" i="2" s="1"/>
  <c r="H29" i="2"/>
  <c r="H47" i="2" s="1"/>
  <c r="H64" i="2" s="1"/>
  <c r="F27" i="2"/>
  <c r="F45" i="2" s="1"/>
  <c r="F62" i="2" s="1"/>
  <c r="I31" i="2"/>
  <c r="I49" i="2" s="1"/>
  <c r="I66" i="2" s="1"/>
  <c r="G29" i="2"/>
  <c r="G47" i="2" s="1"/>
  <c r="G64" i="2" s="1"/>
  <c r="E27" i="2"/>
  <c r="E45" i="2" s="1"/>
  <c r="E62" i="2" s="1"/>
  <c r="D25" i="2"/>
  <c r="D43" i="2" s="1"/>
  <c r="D60" i="2" s="1"/>
  <c r="D23" i="2"/>
  <c r="D41" i="2" s="1"/>
  <c r="D58" i="2" s="1"/>
  <c r="D21" i="2"/>
  <c r="D39" i="2" s="1"/>
  <c r="D56" i="2" s="1"/>
  <c r="H19" i="2"/>
  <c r="D32" i="2"/>
  <c r="D50" i="2" s="1"/>
  <c r="D67" i="2" s="1"/>
  <c r="F30" i="2"/>
  <c r="F48" i="2" s="1"/>
  <c r="F65" i="2" s="1"/>
  <c r="D28" i="2"/>
  <c r="D46" i="2" s="1"/>
  <c r="D63" i="2" s="1"/>
  <c r="I27" i="2"/>
  <c r="I45" i="2" s="1"/>
  <c r="I62" i="2" s="1"/>
  <c r="H25" i="2"/>
  <c r="C20" i="2"/>
  <c r="N20" i="2"/>
  <c r="N38" i="2" s="1"/>
  <c r="N55" i="2" s="1"/>
  <c r="X22" i="2"/>
  <c r="X40" i="2" s="1"/>
  <c r="X57" i="2" s="1"/>
  <c r="E25" i="2"/>
  <c r="E43" i="2" s="1"/>
  <c r="E60" i="2" s="1"/>
  <c r="D26" i="2"/>
  <c r="X26" i="2"/>
  <c r="X44" i="2" s="1"/>
  <c r="X61" i="2" s="1"/>
  <c r="G28" i="2"/>
  <c r="G46" i="2" s="1"/>
  <c r="G63" i="2" s="1"/>
  <c r="E29" i="2"/>
  <c r="E47" i="2" s="1"/>
  <c r="E64" i="2" s="1"/>
  <c r="I30" i="2"/>
  <c r="I48" i="2" s="1"/>
  <c r="I65" i="2" s="1"/>
  <c r="H31" i="2"/>
  <c r="L32" i="2"/>
  <c r="L50" i="2" s="1"/>
  <c r="L67" i="2" s="1"/>
  <c r="U42" i="2"/>
  <c r="U59" i="2" s="1"/>
  <c r="D47" i="2"/>
  <c r="D64" i="2" s="1"/>
  <c r="W30" i="2"/>
  <c r="W48" i="2" s="1"/>
  <c r="W65" i="2" s="1"/>
  <c r="X23" i="2"/>
  <c r="X41" i="2" s="1"/>
  <c r="X58" i="2" s="1"/>
  <c r="W23" i="2"/>
  <c r="W41" i="2" s="1"/>
  <c r="W58" i="2" s="1"/>
  <c r="V23" i="2"/>
  <c r="V41" i="2" s="1"/>
  <c r="V58" i="2" s="1"/>
  <c r="Z25" i="2"/>
  <c r="Z43" i="2" s="1"/>
  <c r="Z60" i="2" s="1"/>
  <c r="Y25" i="2"/>
  <c r="Y43" i="2" s="1"/>
  <c r="Y60" i="2" s="1"/>
  <c r="X25" i="2"/>
  <c r="X43" i="2" s="1"/>
  <c r="X60" i="2" s="1"/>
  <c r="N26" i="2"/>
  <c r="N44" i="2" s="1"/>
  <c r="N61" i="2" s="1"/>
  <c r="M26" i="2"/>
  <c r="M44" i="2" s="1"/>
  <c r="M61" i="2" s="1"/>
  <c r="L26" i="2"/>
  <c r="L44" i="2" s="1"/>
  <c r="L61" i="2" s="1"/>
  <c r="R31" i="2"/>
  <c r="R49" i="2" s="1"/>
  <c r="R66" i="2" s="1"/>
  <c r="Q31" i="2"/>
  <c r="Q49" i="2" s="1"/>
  <c r="Q66" i="2" s="1"/>
  <c r="R19" i="2"/>
  <c r="R37" i="2" s="1"/>
  <c r="R54" i="2" s="1"/>
  <c r="Q19" i="2"/>
  <c r="Q37" i="2" s="1"/>
  <c r="Q54" i="2" s="1"/>
  <c r="Y23" i="2"/>
  <c r="Y41" i="2" s="1"/>
  <c r="Y58" i="2" s="1"/>
  <c r="V25" i="2"/>
  <c r="V43" i="2" s="1"/>
  <c r="V60" i="2" s="1"/>
  <c r="P26" i="2"/>
  <c r="P44" i="2" s="1"/>
  <c r="P61" i="2" s="1"/>
  <c r="U30" i="2"/>
  <c r="U48" i="2" s="1"/>
  <c r="U65" i="2" s="1"/>
  <c r="L31" i="2"/>
  <c r="L49" i="2" s="1"/>
  <c r="L66" i="2" s="1"/>
  <c r="U32" i="2"/>
  <c r="U50" i="2" s="1"/>
  <c r="U67" i="2" s="1"/>
  <c r="W25" i="2"/>
  <c r="W43" i="2" s="1"/>
  <c r="W60" i="2" s="1"/>
  <c r="Q26" i="2"/>
  <c r="Q44" i="2" s="1"/>
  <c r="Q61" i="2" s="1"/>
  <c r="Q29" i="2"/>
  <c r="Q47" i="2" s="1"/>
  <c r="Q64" i="2" s="1"/>
  <c r="P29" i="2"/>
  <c r="P47" i="2" s="1"/>
  <c r="P64" i="2" s="1"/>
  <c r="O29" i="2"/>
  <c r="M31" i="2"/>
  <c r="M49" i="2" s="1"/>
  <c r="M66" i="2" s="1"/>
  <c r="I46" i="2"/>
  <c r="I63" i="2" s="1"/>
  <c r="I44" i="2"/>
  <c r="I61" i="2" s="1"/>
  <c r="I43" i="2"/>
  <c r="I60" i="2" s="1"/>
  <c r="I40" i="2"/>
  <c r="I57" i="2" s="1"/>
  <c r="I38" i="2"/>
  <c r="I55" i="2" s="1"/>
  <c r="I37" i="2"/>
  <c r="I54" i="2" s="1"/>
  <c r="H37" i="2"/>
  <c r="H54" i="2" s="1"/>
  <c r="H38" i="2"/>
  <c r="H55" i="2" s="1"/>
  <c r="H39" i="2"/>
  <c r="H56" i="2" s="1"/>
  <c r="H43" i="2"/>
  <c r="H60" i="2" s="1"/>
  <c r="H44" i="2"/>
  <c r="H61" i="2" s="1"/>
  <c r="H46" i="2"/>
  <c r="H63" i="2" s="1"/>
  <c r="H49" i="2"/>
  <c r="H66" i="2" s="1"/>
  <c r="L25" i="2"/>
  <c r="L43" i="2" s="1"/>
  <c r="L60" i="2" s="1"/>
  <c r="P33" i="2" l="1"/>
  <c r="P41" i="2"/>
  <c r="P58" i="2" s="1"/>
  <c r="Q41" i="2"/>
  <c r="Q58" i="2" s="1"/>
  <c r="Q33" i="2"/>
  <c r="O33" i="2"/>
  <c r="N41" i="2"/>
  <c r="N58" i="2" s="1"/>
  <c r="N33" i="2"/>
  <c r="L41" i="2"/>
  <c r="L58" i="2" s="1"/>
  <c r="L33" i="2"/>
  <c r="M41" i="2"/>
  <c r="M58" i="2" s="1"/>
  <c r="M33" i="2"/>
  <c r="D37" i="2"/>
  <c r="D54" i="2" s="1"/>
  <c r="J19" i="2"/>
  <c r="D33" i="2"/>
  <c r="E37" i="2"/>
  <c r="E54" i="2" s="1"/>
  <c r="E33" i="2"/>
  <c r="O41" i="2" l="1"/>
  <c r="O42" i="2"/>
  <c r="O59" i="2" s="1"/>
  <c r="O39" i="2"/>
  <c r="O56" i="2" s="1"/>
  <c r="O44" i="2"/>
  <c r="O61" i="2" s="1"/>
  <c r="O46" i="2"/>
  <c r="O63" i="2" s="1"/>
  <c r="O50" i="2"/>
  <c r="O67" i="2" s="1"/>
  <c r="O49" i="2"/>
  <c r="O66" i="2" s="1"/>
  <c r="O38" i="2"/>
  <c r="O55" i="2" s="1"/>
  <c r="O40" i="2"/>
  <c r="O57" i="2" s="1"/>
  <c r="O37" i="2"/>
  <c r="O54" i="2" s="1"/>
  <c r="O48" i="2"/>
  <c r="O65" i="2" s="1"/>
  <c r="O47" i="2"/>
  <c r="O64" i="2" s="1"/>
  <c r="O45" i="2"/>
  <c r="O62" i="2" s="1"/>
  <c r="O43" i="2"/>
  <c r="O60" i="2" s="1"/>
  <c r="O58" i="2"/>
</calcChain>
</file>

<file path=xl/sharedStrings.xml><?xml version="1.0" encoding="utf-8"?>
<sst xmlns="http://schemas.openxmlformats.org/spreadsheetml/2006/main" count="98" uniqueCount="86">
  <si>
    <t>Instructions</t>
  </si>
  <si>
    <t>C-D Model:</t>
  </si>
  <si>
    <t>In the C-D Model tab, fill in the formulas in the grids to calculate daily throughput, manufacturing overhead per unit, and manufacturing overhead + materials cost per unit.</t>
  </si>
  <si>
    <t>The Cobb-Douglas equation for annual throughput is in the light blue box at the top of the sheet.</t>
  </si>
  <si>
    <t>The parameters for A, alpha, and beta for each factory type are listed in the factory parameters boxes at the top of the sheet to the left of the Cobb-Douglas equation.</t>
  </si>
  <si>
    <r>
      <rPr>
        <sz val="11"/>
        <color theme="1"/>
        <rFont val="Calibri"/>
        <family val="2"/>
      </rPr>
      <t>The capital (K) and daily labor (L</t>
    </r>
    <r>
      <rPr>
        <vertAlign val="subscript"/>
        <sz val="11"/>
        <color theme="1"/>
        <rFont val="Calibri"/>
        <family val="2"/>
      </rPr>
      <t>daily</t>
    </r>
    <r>
      <rPr>
        <sz val="11"/>
        <color theme="1"/>
        <rFont val="Calibri"/>
        <family val="2"/>
      </rPr>
      <t>) inputs for the Cobb-Douglas function are listed in the row and column labels for each grid. Daily labor is referred to as daily expenditure in the simulation.</t>
    </r>
  </si>
  <si>
    <t>Your formulas should reference the factory parameters at the top of the sheet, and the K and L values in each grid's row and column labels.</t>
  </si>
  <si>
    <t>The cells highlighted in yellow are intended to contain changeable inputs for your formulas. The values in the other cells should not be changed.</t>
  </si>
  <si>
    <t>Rows for values of K that are less than the minimum required capital for a factory type are grayed out.</t>
  </si>
  <si>
    <r>
      <rPr>
        <sz val="11"/>
        <color theme="1"/>
        <rFont val="Calibri"/>
        <family val="2"/>
      </rPr>
      <t xml:space="preserve">You can find more information on the Cobb-Douglas function in the Production section of the </t>
    </r>
    <r>
      <rPr>
        <i/>
        <sz val="11"/>
        <color theme="1"/>
        <rFont val="Calibri"/>
        <family val="2"/>
      </rPr>
      <t xml:space="preserve">Gleacher Game Case Brief </t>
    </r>
    <r>
      <rPr>
        <sz val="11"/>
        <color theme="1"/>
        <rFont val="Calibri"/>
        <family val="2"/>
      </rPr>
      <t>posted on Canvas.</t>
    </r>
  </si>
  <si>
    <t>Initial Parameters:</t>
  </si>
  <si>
    <t>The Initial Parameters tab is included for your convenience. It contains some factory, distribution center, and tax rate parameters for the start of the simulation.</t>
  </si>
  <si>
    <r>
      <rPr>
        <sz val="11"/>
        <color theme="1"/>
        <rFont val="Calibri"/>
        <family val="2"/>
      </rPr>
      <t xml:space="preserve">A more comprehensive summary of simulation parameters can be found in the </t>
    </r>
    <r>
      <rPr>
        <i/>
        <sz val="11"/>
        <color theme="1"/>
        <rFont val="Calibri"/>
        <family val="2"/>
      </rPr>
      <t xml:space="preserve">Quick Reference </t>
    </r>
    <r>
      <rPr>
        <sz val="11"/>
        <color theme="1"/>
        <rFont val="Calibri"/>
        <family val="2"/>
      </rPr>
      <t>document posted on Canvas.</t>
    </r>
  </si>
  <si>
    <t>Contribution Margin Table:</t>
  </si>
  <si>
    <t>The Contribution Margin Table tab contains a template, included here for your convenience, that you can use for calculating contribution margin per unit and per day.</t>
  </si>
  <si>
    <t>To adjust the model, use the inputs in the yellow cells with bold blue font.</t>
  </si>
  <si>
    <t>Bench Factory Parameters</t>
  </si>
  <si>
    <t>Line Factory Parameters</t>
  </si>
  <si>
    <t>Cell Factory Parameters</t>
  </si>
  <si>
    <r>
      <rPr>
        <i/>
        <sz val="10"/>
        <color theme="1"/>
        <rFont val="Arial"/>
        <family val="2"/>
      </rPr>
      <t>Y = A K</t>
    </r>
    <r>
      <rPr>
        <i/>
        <vertAlign val="superscript"/>
        <sz val="10"/>
        <color theme="1"/>
        <rFont val="Arial"/>
        <family val="2"/>
      </rPr>
      <t>α</t>
    </r>
    <r>
      <rPr>
        <i/>
        <sz val="10"/>
        <color theme="1"/>
        <rFont val="Arial"/>
        <family val="2"/>
      </rPr>
      <t>L</t>
    </r>
    <r>
      <rPr>
        <i/>
        <vertAlign val="superscript"/>
        <sz val="10"/>
        <color theme="1"/>
        <rFont val="Arial"/>
        <family val="2"/>
      </rPr>
      <t>β</t>
    </r>
  </si>
  <si>
    <t>A</t>
  </si>
  <si>
    <t>α</t>
  </si>
  <si>
    <t>β</t>
  </si>
  <si>
    <t>Depreciation years</t>
  </si>
  <si>
    <t>α+β</t>
  </si>
  <si>
    <t>Setup time, in days</t>
  </si>
  <si>
    <t># of days per year</t>
  </si>
  <si>
    <t xml:space="preserve">Batch size </t>
  </si>
  <si>
    <t xml:space="preserve">Minimum capital </t>
  </si>
  <si>
    <t>Materials cost per unit</t>
  </si>
  <si>
    <t>Bench</t>
  </si>
  <si>
    <t>Line</t>
  </si>
  <si>
    <t>Cell</t>
  </si>
  <si>
    <t>Daily Throughput in units, including setup time</t>
  </si>
  <si>
    <r>
      <rPr>
        <b/>
        <sz val="10"/>
        <color theme="0"/>
        <rFont val="Arial"/>
        <family val="2"/>
      </rP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</si>
  <si>
    <r>
      <rPr>
        <b/>
        <sz val="10"/>
        <color theme="0"/>
        <rFont val="Arial"/>
        <family val="2"/>
      </rP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</si>
  <si>
    <r>
      <rPr>
        <b/>
        <sz val="10"/>
        <color theme="0"/>
        <rFont val="Arial"/>
        <family val="2"/>
      </rP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</si>
  <si>
    <t>Manufacturing Overhead per unit</t>
  </si>
  <si>
    <r>
      <rPr>
        <b/>
        <sz val="10"/>
        <color theme="0"/>
        <rFont val="Arial"/>
        <family val="2"/>
      </rP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</si>
  <si>
    <r>
      <rPr>
        <b/>
        <sz val="10"/>
        <color theme="0"/>
        <rFont val="Arial"/>
        <family val="2"/>
      </rP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</si>
  <si>
    <r>
      <rPr>
        <b/>
        <sz val="10"/>
        <color theme="0"/>
        <rFont val="Arial"/>
        <family val="2"/>
      </rP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</si>
  <si>
    <t>Manufacturing Overhead plus Materials Cost per unit</t>
  </si>
  <si>
    <r>
      <rPr>
        <b/>
        <sz val="10"/>
        <color theme="0"/>
        <rFont val="Arial"/>
        <family val="2"/>
      </rP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</si>
  <si>
    <r>
      <rPr>
        <b/>
        <sz val="10"/>
        <color theme="0"/>
        <rFont val="Arial"/>
        <family val="2"/>
      </rP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</si>
  <si>
    <r>
      <rPr>
        <b/>
        <sz val="10"/>
        <color theme="0"/>
        <rFont val="Arial"/>
        <family val="2"/>
      </rP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</si>
  <si>
    <t>Initial Factory Parameters</t>
  </si>
  <si>
    <t>Technology</t>
  </si>
  <si>
    <t>K</t>
  </si>
  <si>
    <r>
      <rPr>
        <sz val="11"/>
        <color theme="1"/>
        <rFont val="Calibri"/>
        <family val="2"/>
      </rPr>
      <t>L</t>
    </r>
    <r>
      <rPr>
        <vertAlign val="subscript"/>
        <sz val="11"/>
        <color theme="1"/>
        <rFont val="Calibri"/>
        <family val="2"/>
      </rPr>
      <t>daily</t>
    </r>
  </si>
  <si>
    <t>$2,500 / day</t>
  </si>
  <si>
    <t>Batch size</t>
  </si>
  <si>
    <t>100 units</t>
  </si>
  <si>
    <t>Initial Distribution Center Parameters</t>
  </si>
  <si>
    <t>Heart View Price</t>
  </si>
  <si>
    <t>$700 / unit</t>
  </si>
  <si>
    <t>Handling Cost</t>
  </si>
  <si>
    <t>$10 / unit</t>
  </si>
  <si>
    <t>Sales Commission</t>
  </si>
  <si>
    <t>20% of price</t>
  </si>
  <si>
    <t>Other</t>
  </si>
  <si>
    <t>Tax Rate</t>
  </si>
  <si>
    <t>Per Unit</t>
  </si>
  <si>
    <t>Per Day</t>
  </si>
  <si>
    <t>Revenue</t>
  </si>
  <si>
    <t>Manufacturing Overhead</t>
  </si>
  <si>
    <t>Materials</t>
  </si>
  <si>
    <t>Shipping</t>
  </si>
  <si>
    <t>Handling ($10 per unit)</t>
  </si>
  <si>
    <t>Commission (20% of revenue)</t>
  </si>
  <si>
    <t>Contribution Margin before Tax</t>
  </si>
  <si>
    <t>Tax (35% tax rate)</t>
  </si>
  <si>
    <t>Contribution Margin after Tax</t>
  </si>
  <si>
    <t xml:space="preserve">ISM_2024_Practice </t>
  </si>
  <si>
    <t>batch size</t>
  </si>
  <si>
    <t>line</t>
  </si>
  <si>
    <t>cell</t>
  </si>
  <si>
    <t>line moh</t>
  </si>
  <si>
    <t>cell moh</t>
  </si>
  <si>
    <t>line throughput</t>
  </si>
  <si>
    <t>cell throughput</t>
  </si>
  <si>
    <t>price</t>
  </si>
  <si>
    <t>CM per unit</t>
  </si>
  <si>
    <t>CM per day</t>
  </si>
  <si>
    <t>commision</t>
  </si>
  <si>
    <t>tax</t>
  </si>
  <si>
    <t>shipp+material+handling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</si>
</sst>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3" formatCode="_(* #,##0.00_);_(* \(#,##0.00\);_(* &quot;-&quot;??_);_(@_)"/>
    <numFmt numFmtId="164" formatCode="0\)"/>
    <numFmt numFmtId="165" formatCode="_(* #,##0.0000_);_(* \(#,##0.00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_(* #,##0.000_);_(* \(#,##0.000\);_(* &quot;-&quot;??_);_(@_)"/>
    <numFmt numFmtId="169" formatCode="#,##0%_);[Red]\(#,##0%\)"/>
    <numFmt numFmtId="170" formatCode="&quot;$&quot;#,##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1"/>
      <color rgb="FF0033CC"/>
      <name val="Arial"/>
      <family val="2"/>
    </font>
    <font>
      <sz val="11"/>
      <name val="Calibri"/>
      <family val="2"/>
    </font>
    <font>
      <b/>
      <sz val="10"/>
      <color theme="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CC"/>
      <name val="Arial"/>
      <family val="2"/>
    </font>
    <font>
      <sz val="11"/>
      <color theme="1"/>
      <name val="Arial"/>
      <family val="2"/>
    </font>
    <font>
      <vertAlign val="subscript"/>
      <sz val="11"/>
      <color theme="1"/>
      <name val="Calibri"/>
      <family val="2"/>
    </font>
    <font>
      <i/>
      <sz val="11"/>
      <color theme="1"/>
      <name val="Calibri"/>
      <family val="2"/>
    </font>
    <font>
      <i/>
      <vertAlign val="superscript"/>
      <sz val="10"/>
      <color theme="1"/>
      <name val="Arial"/>
      <family val="2"/>
    </font>
    <font>
      <b/>
      <vertAlign val="subscript"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EEAF6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  <diagonal/>
    </border>
    <border>
      <left style="medium">
        <color rgb="FF000000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medium">
        <color rgb="FF000000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000000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166" fontId="6" fillId="6" borderId="15" xfId="0" applyNumberFormat="1" applyFont="1" applyFill="1" applyBorder="1" applyAlignment="1">
      <alignment vertical="center"/>
    </xf>
    <xf numFmtId="0" fontId="6" fillId="5" borderId="1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167" fontId="12" fillId="2" borderId="22" xfId="0" applyNumberFormat="1" applyFont="1" applyFill="1" applyBorder="1" applyAlignment="1">
      <alignment vertical="center"/>
    </xf>
    <xf numFmtId="0" fontId="9" fillId="7" borderId="23" xfId="0" applyFont="1" applyFill="1" applyBorder="1" applyAlignment="1">
      <alignment horizontal="right" vertical="center"/>
    </xf>
    <xf numFmtId="166" fontId="12" fillId="2" borderId="24" xfId="0" applyNumberFormat="1" applyFont="1" applyFill="1" applyBorder="1" applyAlignment="1">
      <alignment horizontal="right" vertical="center"/>
    </xf>
    <xf numFmtId="166" fontId="12" fillId="2" borderId="25" xfId="0" applyNumberFormat="1" applyFont="1" applyFill="1" applyBorder="1" applyAlignment="1">
      <alignment horizontal="right" vertical="center"/>
    </xf>
    <xf numFmtId="166" fontId="12" fillId="2" borderId="26" xfId="0" applyNumberFormat="1" applyFont="1" applyFill="1" applyBorder="1" applyAlignment="1">
      <alignment horizontal="right" vertical="center"/>
    </xf>
    <xf numFmtId="166" fontId="11" fillId="4" borderId="27" xfId="0" applyNumberFormat="1" applyFont="1" applyFill="1" applyBorder="1" applyAlignment="1">
      <alignment horizontal="right" vertical="center"/>
    </xf>
    <xf numFmtId="166" fontId="11" fillId="4" borderId="28" xfId="0" applyNumberFormat="1" applyFont="1" applyFill="1" applyBorder="1" applyAlignment="1">
      <alignment horizontal="right" vertical="center"/>
    </xf>
    <xf numFmtId="166" fontId="11" fillId="4" borderId="29" xfId="0" applyNumberFormat="1" applyFont="1" applyFill="1" applyBorder="1" applyAlignment="1">
      <alignment horizontal="right" vertical="center"/>
    </xf>
    <xf numFmtId="166" fontId="12" fillId="2" borderId="30" xfId="0" applyNumberFormat="1" applyFont="1" applyFill="1" applyBorder="1" applyAlignment="1">
      <alignment horizontal="right" vertical="center"/>
    </xf>
    <xf numFmtId="168" fontId="6" fillId="0" borderId="31" xfId="0" applyNumberFormat="1" applyFont="1" applyBorder="1" applyAlignment="1">
      <alignment horizontal="right" vertical="center"/>
    </xf>
    <xf numFmtId="168" fontId="6" fillId="0" borderId="32" xfId="0" applyNumberFormat="1" applyFont="1" applyBorder="1" applyAlignment="1">
      <alignment horizontal="right" vertical="center"/>
    </xf>
    <xf numFmtId="168" fontId="6" fillId="0" borderId="33" xfId="0" applyNumberFormat="1" applyFont="1" applyBorder="1" applyAlignment="1">
      <alignment horizontal="right" vertical="center"/>
    </xf>
    <xf numFmtId="166" fontId="11" fillId="4" borderId="34" xfId="0" applyNumberFormat="1" applyFont="1" applyFill="1" applyBorder="1" applyAlignment="1">
      <alignment horizontal="right" vertical="center"/>
    </xf>
    <xf numFmtId="166" fontId="12" fillId="2" borderId="35" xfId="0" applyNumberFormat="1" applyFont="1" applyFill="1" applyBorder="1" applyAlignment="1">
      <alignment horizontal="right" vertical="center"/>
    </xf>
    <xf numFmtId="168" fontId="6" fillId="0" borderId="36" xfId="0" applyNumberFormat="1" applyFont="1" applyBorder="1" applyAlignment="1">
      <alignment horizontal="right" vertical="center"/>
    </xf>
    <xf numFmtId="168" fontId="6" fillId="0" borderId="37" xfId="0" applyNumberFormat="1" applyFont="1" applyBorder="1" applyAlignment="1">
      <alignment horizontal="right" vertical="center"/>
    </xf>
    <xf numFmtId="168" fontId="6" fillId="0" borderId="38" xfId="0" applyNumberFormat="1" applyFont="1" applyBorder="1" applyAlignment="1">
      <alignment horizontal="right" vertical="center"/>
    </xf>
    <xf numFmtId="166" fontId="11" fillId="4" borderId="39" xfId="0" applyNumberFormat="1" applyFont="1" applyFill="1" applyBorder="1" applyAlignment="1">
      <alignment horizontal="right" vertical="center"/>
    </xf>
    <xf numFmtId="166" fontId="12" fillId="2" borderId="40" xfId="0" applyNumberFormat="1" applyFont="1" applyFill="1" applyBorder="1" applyAlignment="1">
      <alignment horizontal="right" vertical="center"/>
    </xf>
    <xf numFmtId="168" fontId="6" fillId="0" borderId="41" xfId="0" applyNumberFormat="1" applyFont="1" applyBorder="1" applyAlignment="1">
      <alignment horizontal="right" vertical="center"/>
    </xf>
    <xf numFmtId="168" fontId="6" fillId="0" borderId="42" xfId="0" applyNumberFormat="1" applyFont="1" applyBorder="1" applyAlignment="1">
      <alignment horizontal="right" vertical="center"/>
    </xf>
    <xf numFmtId="168" fontId="6" fillId="0" borderId="43" xfId="0" applyNumberFormat="1" applyFont="1" applyBorder="1" applyAlignment="1">
      <alignment horizontal="right" vertical="center"/>
    </xf>
    <xf numFmtId="166" fontId="11" fillId="4" borderId="44" xfId="0" applyNumberFormat="1" applyFont="1" applyFill="1" applyBorder="1" applyAlignment="1">
      <alignment horizontal="right" vertical="center"/>
    </xf>
    <xf numFmtId="43" fontId="6" fillId="0" borderId="45" xfId="0" applyNumberFormat="1" applyFont="1" applyBorder="1" applyAlignment="1">
      <alignment horizontal="right" vertical="center"/>
    </xf>
    <xf numFmtId="43" fontId="6" fillId="0" borderId="32" xfId="0" applyNumberFormat="1" applyFont="1" applyBorder="1" applyAlignment="1">
      <alignment horizontal="right" vertical="center"/>
    </xf>
    <xf numFmtId="43" fontId="6" fillId="0" borderId="33" xfId="0" applyNumberFormat="1" applyFont="1" applyBorder="1" applyAlignment="1">
      <alignment horizontal="right" vertical="center"/>
    </xf>
    <xf numFmtId="43" fontId="6" fillId="0" borderId="46" xfId="0" applyNumberFormat="1" applyFont="1" applyBorder="1" applyAlignment="1">
      <alignment horizontal="right" vertical="center"/>
    </xf>
    <xf numFmtId="43" fontId="6" fillId="0" borderId="37" xfId="0" applyNumberFormat="1" applyFont="1" applyBorder="1" applyAlignment="1">
      <alignment horizontal="right" vertical="center"/>
    </xf>
    <xf numFmtId="43" fontId="6" fillId="0" borderId="38" xfId="0" applyNumberFormat="1" applyFont="1" applyBorder="1" applyAlignment="1">
      <alignment horizontal="right" vertical="center"/>
    </xf>
    <xf numFmtId="43" fontId="6" fillId="0" borderId="47" xfId="0" applyNumberFormat="1" applyFont="1" applyBorder="1" applyAlignment="1">
      <alignment horizontal="right" vertical="center"/>
    </xf>
    <xf numFmtId="43" fontId="6" fillId="0" borderId="42" xfId="0" applyNumberFormat="1" applyFont="1" applyBorder="1" applyAlignment="1">
      <alignment horizontal="right" vertical="center"/>
    </xf>
    <xf numFmtId="43" fontId="6" fillId="0" borderId="43" xfId="0" applyNumberFormat="1" applyFont="1" applyBorder="1" applyAlignment="1">
      <alignment horizontal="right" vertical="center"/>
    </xf>
    <xf numFmtId="169" fontId="6" fillId="0" borderId="0" xfId="0" applyNumberFormat="1" applyFont="1"/>
    <xf numFmtId="43" fontId="6" fillId="0" borderId="0" xfId="0" applyNumberFormat="1" applyFont="1"/>
    <xf numFmtId="0" fontId="10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5" xfId="0" applyFont="1" applyBorder="1" applyAlignment="1">
      <alignment horizontal="center" vertical="center"/>
    </xf>
    <xf numFmtId="170" fontId="4" fillId="0" borderId="15" xfId="0" applyNumberFormat="1" applyFont="1" applyBorder="1" applyAlignment="1">
      <alignment horizontal="center" vertical="center"/>
    </xf>
    <xf numFmtId="6" fontId="4" fillId="0" borderId="15" xfId="0" applyNumberFormat="1" applyFont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left" vertical="center" wrapText="1"/>
    </xf>
    <xf numFmtId="0" fontId="13" fillId="0" borderId="50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left" vertical="center" wrapText="1"/>
    </xf>
    <xf numFmtId="0" fontId="18" fillId="0" borderId="0" xfId="0" applyFont="1"/>
    <xf numFmtId="0" fontId="1" fillId="0" borderId="0" xfId="0" applyFont="1"/>
    <xf numFmtId="43" fontId="0" fillId="0" borderId="0" xfId="1" applyFont="1"/>
    <xf numFmtId="43" fontId="6" fillId="0" borderId="0" xfId="1" applyFont="1"/>
    <xf numFmtId="43" fontId="6" fillId="0" borderId="0" xfId="1" applyFont="1" applyAlignment="1">
      <alignment vertical="center"/>
    </xf>
    <xf numFmtId="166" fontId="6" fillId="0" borderId="0" xfId="1" applyNumberFormat="1" applyFont="1"/>
    <xf numFmtId="166" fontId="0" fillId="0" borderId="0" xfId="1" applyNumberFormat="1" applyFont="1"/>
    <xf numFmtId="166" fontId="6" fillId="0" borderId="0" xfId="1" applyNumberFormat="1" applyFont="1" applyAlignment="1">
      <alignment vertical="center"/>
    </xf>
    <xf numFmtId="0" fontId="9" fillId="7" borderId="4" xfId="0" applyFont="1" applyFill="1" applyBorder="1" applyAlignment="1">
      <alignment horizontal="center" vertical="center"/>
    </xf>
    <xf numFmtId="0" fontId="8" fillId="0" borderId="8" xfId="0" applyFont="1" applyBorder="1"/>
    <xf numFmtId="0" fontId="8" fillId="0" borderId="7" xfId="0" applyFont="1" applyBorder="1"/>
    <xf numFmtId="0" fontId="11" fillId="5" borderId="9" xfId="0" applyFont="1" applyFill="1" applyBorder="1" applyAlignment="1">
      <alignment horizontal="right" vertical="center"/>
    </xf>
    <xf numFmtId="0" fontId="8" fillId="0" borderId="10" xfId="0" applyFont="1" applyBorder="1"/>
    <xf numFmtId="165" fontId="6" fillId="6" borderId="9" xfId="0" applyNumberFormat="1" applyFont="1" applyFill="1" applyBorder="1" applyAlignment="1">
      <alignment horizontal="center" vertical="center"/>
    </xf>
    <xf numFmtId="0" fontId="8" fillId="0" borderId="11" xfId="0" applyFont="1" applyBorder="1"/>
    <xf numFmtId="43" fontId="6" fillId="6" borderId="12" xfId="0" applyNumberFormat="1" applyFont="1" applyFill="1" applyBorder="1" applyAlignment="1">
      <alignment horizontal="center" vertical="center"/>
    </xf>
    <xf numFmtId="0" fontId="8" fillId="0" borderId="14" xfId="0" applyFont="1" applyBorder="1"/>
    <xf numFmtId="0" fontId="11" fillId="5" borderId="4" xfId="0" applyFont="1" applyFill="1" applyBorder="1" applyAlignment="1">
      <alignment horizontal="right" vertical="center"/>
    </xf>
    <xf numFmtId="0" fontId="11" fillId="5" borderId="12" xfId="0" applyFont="1" applyFill="1" applyBorder="1" applyAlignment="1">
      <alignment horizontal="right" vertical="center"/>
    </xf>
    <xf numFmtId="0" fontId="8" fillId="0" borderId="13" xfId="0" applyFont="1" applyBorder="1"/>
    <xf numFmtId="0" fontId="7" fillId="2" borderId="1" xfId="0" applyFont="1" applyFill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9" fillId="3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167" fontId="6" fillId="6" borderId="18" xfId="0" applyNumberFormat="1" applyFont="1" applyFill="1" applyBorder="1" applyAlignment="1">
      <alignment horizontal="center" vertical="center"/>
    </xf>
    <xf numFmtId="0" fontId="8" fillId="0" borderId="20" xfId="0" applyFont="1" applyBorder="1"/>
    <xf numFmtId="0" fontId="8" fillId="0" borderId="21" xfId="0" applyFont="1" applyBorder="1"/>
    <xf numFmtId="0" fontId="9" fillId="3" borderId="4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right" vertical="center"/>
    </xf>
    <xf numFmtId="0" fontId="8" fillId="0" borderId="19" xfId="0" applyFont="1" applyBorder="1"/>
    <xf numFmtId="43" fontId="6" fillId="0" borderId="0" xfId="0" applyNumberFormat="1" applyFont="1" applyAlignment="1">
      <alignment vertical="center"/>
    </xf>
    <xf numFmtId="0" fontId="6" fillId="8" borderId="0" xfId="0" applyFont="1" applyFill="1" applyAlignment="1">
      <alignment vertical="center"/>
    </xf>
    <xf numFmtId="166" fontId="11" fillId="9" borderId="39" xfId="0" applyNumberFormat="1" applyFont="1" applyFill="1" applyBorder="1" applyAlignment="1">
      <alignment horizontal="right" vertical="center"/>
    </xf>
    <xf numFmtId="43" fontId="6" fillId="6" borderId="16" xfId="0" applyNumberFormat="1" applyFont="1" applyFill="1" applyBorder="1" applyAlignment="1">
      <alignment horizontal="center" vertical="center"/>
    </xf>
    <xf numFmtId="0" fontId="8" fillId="0" borderId="17" xfId="0" applyFont="1" applyBorder="1"/>
  </cellXfs>
  <cellStyles count="2">
    <cellStyle name="Comma" xfId="1" builtinId="3"/>
    <cellStyle name="Normal" xfId="0" builtinId="0"/>
  </cellStyles>
  <dxfs count="3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16183584490773E-2"/>
          <c:y val="0.11017792255296704"/>
          <c:w val="0.89539722084999818"/>
          <c:h val="0.8256120742629303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'C-D Model'!$R$4</c:f>
              <c:strCache>
                <c:ptCount val="1"/>
                <c:pt idx="0">
                  <c:v>line moh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'C-D Model'!$Q$5:$Q$11</c:f>
              <c:numCache>
                <c:formatCode>_(* #,##0_);_(* \(#,##0\);_(* "-"??_);_(@_)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'C-D Model'!$R$5:$R$11</c:f>
              <c:numCache>
                <c:formatCode>_(* #,##0.00_);_(* \(#,##0.00\);_(* "-"??_);_(@_)</c:formatCode>
                <c:ptCount val="7"/>
                <c:pt idx="0">
                  <c:v>50.641221259983169</c:v>
                </c:pt>
                <c:pt idx="1">
                  <c:v>49.162283531045446</c:v>
                </c:pt>
                <c:pt idx="2">
                  <c:v>48.866495985257899</c:v>
                </c:pt>
                <c:pt idx="3">
                  <c:v>48.669304288066193</c:v>
                </c:pt>
                <c:pt idx="4">
                  <c:v>48.274920893682811</c:v>
                </c:pt>
                <c:pt idx="5">
                  <c:v>47.979133347895264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EE-4AE2-B8B1-E7DE1349F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801503"/>
        <c:axId val="936801919"/>
      </c:scatterChart>
      <c:valAx>
        <c:axId val="93680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801919"/>
        <c:crosses val="autoZero"/>
        <c:crossBetween val="midCat"/>
        <c:majorUnit val="100"/>
      </c:valAx>
      <c:valAx>
        <c:axId val="93680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80150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'C-D Model'!$Z$4</c:f>
              <c:strCache>
                <c:ptCount val="1"/>
                <c:pt idx="0">
                  <c:v>cell moh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'C-D Model'!$Y$5:$Y$11</c:f>
              <c:numCache>
                <c:formatCode>_(* #,##0_);_(* \(#,##0\);_(* "-"??_);_(@_)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</c:numCache>
            </c:numRef>
          </c:xVal>
          <c:yVal>
            <c:numRef>
              <c:f>'C-D Model'!$Z$5:$Z$11</c:f>
              <c:numCache>
                <c:formatCode>_(* #,##0.00_);_(* \(#,##0.00\);_(* "-"??_);_(@_)</c:formatCode>
                <c:ptCount val="7"/>
                <c:pt idx="0">
                  <c:v>13.815857816491993</c:v>
                </c:pt>
                <c:pt idx="1">
                  <c:v>8.5686050692392435</c:v>
                </c:pt>
                <c:pt idx="2">
                  <c:v>7.5191545197886933</c:v>
                </c:pt>
                <c:pt idx="3">
                  <c:v>6.8195208201549944</c:v>
                </c:pt>
                <c:pt idx="4">
                  <c:v>5.4202534208875948</c:v>
                </c:pt>
                <c:pt idx="5">
                  <c:v>4.3708028714370446</c:v>
                </c:pt>
                <c:pt idx="6">
                  <c:v>3.8460775967117704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A3-4B32-A6C5-03688FF07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834943"/>
        <c:axId val="975835359"/>
      </c:scatterChart>
      <c:valAx>
        <c:axId val="97583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35359"/>
        <c:crosses val="autoZero"/>
        <c:crossBetween val="midCat"/>
        <c:majorUnit val="200"/>
      </c:valAx>
      <c:valAx>
        <c:axId val="9758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3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'C-D Model'!$S$4</c:f>
              <c:strCache>
                <c:ptCount val="1"/>
                <c:pt idx="0">
                  <c:v>line throughput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'C-D Model'!$Q$5:$Q$10</c:f>
              <c:numCache>
                <c:formatCode>_(* #,##0_);_(* \(#,##0\);_(* "-"??_);_(@_)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'C-D Model'!$S$5:$S$10</c:f>
              <c:numCache>
                <c:formatCode>_(* #,##0.00_);_(* \(#,##0.00\);_(* "-"??_);_(@_)</c:formatCode>
                <c:ptCount val="6"/>
                <c:pt idx="0">
                  <c:v>11.681690860851255</c:v>
                </c:pt>
                <c:pt idx="1">
                  <c:v>12.033108494675972</c:v>
                </c:pt>
                <c:pt idx="2">
                  <c:v>12.105944566877859</c:v>
                </c:pt>
                <c:pt idx="3">
                  <c:v>12.154993793904445</c:v>
                </c:pt>
                <c:pt idx="4">
                  <c:v>12.254294375291339</c:v>
                </c:pt>
                <c:pt idx="5">
                  <c:v>12.329841126674763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BF-4751-B976-E8F1882F0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468703"/>
        <c:axId val="982469535"/>
      </c:scatterChart>
      <c:valAx>
        <c:axId val="98246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69535"/>
        <c:crosses val="autoZero"/>
        <c:crossBetween val="midCat"/>
      </c:valAx>
      <c:valAx>
        <c:axId val="9824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6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'C-D Model'!$AA$4</c:f>
              <c:strCache>
                <c:ptCount val="1"/>
                <c:pt idx="0">
                  <c:v>cell throughput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'C-D Model'!$Y$5:$Y$11</c:f>
              <c:numCache>
                <c:formatCode>_(* #,##0_);_(* \(#,##0\);_(* "-"??_);_(@_)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</c:numCache>
            </c:numRef>
          </c:xVal>
          <c:yVal>
            <c:numRef>
              <c:f>'C-D Model'!$AA$5:$AA$11</c:f>
              <c:numCache>
                <c:formatCode>_(* #,##0.00_);_(* \(#,##0.00\);_(* "-"??_);_(@_)</c:formatCode>
                <c:ptCount val="7"/>
                <c:pt idx="0">
                  <c:v>75.959854494001817</c:v>
                </c:pt>
                <c:pt idx="1">
                  <c:v>122.47624216198402</c:v>
                </c:pt>
                <c:pt idx="2">
                  <c:v>139.57028635182797</c:v>
                </c:pt>
                <c:pt idx="3">
                  <c:v>153.88919208940806</c:v>
                </c:pt>
                <c:pt idx="4">
                  <c:v>193.61650977542237</c:v>
                </c:pt>
                <c:pt idx="5">
                  <c:v>240.10475427950567</c:v>
                </c:pt>
                <c:pt idx="6">
                  <c:v>272.86255231766103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5-4DE8-AEBC-68613833B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51903"/>
        <c:axId val="676265631"/>
      </c:scatterChart>
      <c:valAx>
        <c:axId val="67625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65631"/>
        <c:crosses val="autoZero"/>
        <c:crossBetween val="midCat"/>
        <c:majorUnit val="200"/>
      </c:valAx>
      <c:valAx>
        <c:axId val="67626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5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684099189093903E-2"/>
          <c:y val="0.11436152002738788"/>
          <c:w val="0.86874179257767992"/>
          <c:h val="0.8362091321465251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'C-D Model'!$U$18:$AA$18</c:f>
              <c:numCache>
                <c:formatCode>_(* #,##0_);_(* \(#,##0\);_(* "-"??_);_(@_)</c:formatCode>
                <c:ptCount val="7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2500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</c:numCache>
            </c:numRef>
          </c:xVal>
          <c:yVal>
            <c:numRef>
              <c:f>'C-D Model'!$U$25:$AA$25</c:f>
              <c:numCache>
                <c:formatCode>_(* #,##0.000_);_(* \(#,##0.000\);_(* "-"??_);_(@_)</c:formatCode>
                <c:ptCount val="7"/>
                <c:pt idx="0">
                  <c:v>153.88919208940806</c:v>
                </c:pt>
                <c:pt idx="1">
                  <c:v>169.37699892955828</c:v>
                </c:pt>
                <c:pt idx="2">
                  <c:v>178.26692053177013</c:v>
                </c:pt>
                <c:pt idx="3">
                  <c:v>189.17351573396346</c:v>
                </c:pt>
                <c:pt idx="4">
                  <c:v>198.83349096136905</c:v>
                </c:pt>
                <c:pt idx="5">
                  <c:v>212.27304181906013</c:v>
                </c:pt>
                <c:pt idx="6">
                  <c:v>224.60420670293607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AA-DA48-B21B-8CDE84901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14848"/>
        <c:axId val="225618432"/>
      </c:scatterChart>
      <c:valAx>
        <c:axId val="22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18432"/>
        <c:crosses val="autoZero"/>
        <c:crossBetween val="midCat"/>
        <c:majorUnit val="1000"/>
      </c:valAx>
      <c:valAx>
        <c:axId val="22561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1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75019</xdr:colOff>
      <xdr:row>57</xdr:row>
      <xdr:rowOff>45580</xdr:rowOff>
    </xdr:from>
    <xdr:to>
      <xdr:col>17</xdr:col>
      <xdr:colOff>643676</xdr:colOff>
      <xdr:row>76</xdr:row>
      <xdr:rowOff>134099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D3F531-3B74-4063-81B3-7EFB9C05C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380712</xdr:colOff>
      <xdr:row>57</xdr:row>
      <xdr:rowOff>107059</xdr:rowOff>
    </xdr:from>
    <xdr:to>
      <xdr:col>27</xdr:col>
      <xdr:colOff>308033</xdr:colOff>
      <xdr:row>78</xdr:row>
      <xdr:rowOff>61528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E5C3AF-8422-4C6D-8415-B438604EA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558719</xdr:colOff>
      <xdr:row>80</xdr:row>
      <xdr:rowOff>111220</xdr:rowOff>
    </xdr:from>
    <xdr:to>
      <xdr:col>17</xdr:col>
      <xdr:colOff>381000</xdr:colOff>
      <xdr:row>96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035F1C-C692-4EA0-8332-D6B791525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585305</xdr:colOff>
      <xdr:row>79</xdr:row>
      <xdr:rowOff>66261</xdr:rowOff>
    </xdr:from>
    <xdr:to>
      <xdr:col>27</xdr:col>
      <xdr:colOff>507999</xdr:colOff>
      <xdr:row>98</xdr:row>
      <xdr:rowOff>36286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1170EF-D98F-4BF8-AEBD-404EC4EDC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614680</xdr:colOff>
      <xdr:row>52</xdr:row>
      <xdr:rowOff>91440</xdr:rowOff>
    </xdr:from>
    <xdr:to>
      <xdr:col>18</xdr:col>
      <xdr:colOff>426720</xdr:colOff>
      <xdr:row>83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BA405-F4A1-DFD0-21BE-1D5EC04D1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s/Hand%20&amp;%20Cloth/Financial%20Model/Hand&amp;Cloth.Model.v20%20(tables%20condensed%20for%20presentation%20appendix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hkapp/Desktop/Template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s/Hand%20&amp;%20Cloth/Financial%20Model/Hand&amp;Cloth.Model.v3%20(exc%20private%20label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vincecavin/Dropbox/Dig%20Foods/Financials/Payroll/2013/6-28/Panzanzee.FinancialModel.v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ev/Documents/Booth/Courses/34106%20-%20Commercializing%20Innovation/Dropbox%20-%20Commercializing%20Innovation/Week%206%20-%20PPA/Model/CI_02_Group%2001_PPA%20Uni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Assumptions"/>
      <sheetName val="Products"/>
      <sheetName val="(BD) Workers"/>
      <sheetName val="(BD) Staff"/>
      <sheetName val="(BD) OpEx"/>
      <sheetName val="(BD) CapEx"/>
      <sheetName val="(BD) Inventory"/>
      <sheetName val="(BD) SG&amp;A"/>
      <sheetName val="Productivity"/>
      <sheetName val="(BD) Unit Model"/>
      <sheetName val="(BD) Rollout"/>
      <sheetName val="(BD) Rollup"/>
      <sheetName val="(US) Shipping"/>
      <sheetName val="(US) S&amp;M Karima"/>
      <sheetName val="(US) S&amp;M"/>
      <sheetName val="(US) G&amp;A"/>
      <sheetName val="(US) Model"/>
      <sheetName val="(US) Rollout"/>
      <sheetName val="(US-BD) Rollup"/>
      <sheetName val="Growth Strategy"/>
      <sheetName val="Marketing Strategy"/>
      <sheetName val="Key Unit Model Assumptions"/>
      <sheetName val="Co-Op Growth"/>
      <sheetName val="Revenue Model Graphs"/>
      <sheetName val="Cost Model Graphs"/>
      <sheetName val="Funding"/>
      <sheetName val="Funding (2)"/>
      <sheetName val="Funding (3)"/>
      <sheetName val="Profit Distribution"/>
      <sheetName val="Analogs"/>
      <sheetName val="B.Outreach"/>
    </sheetNames>
    <sheetDataSet>
      <sheetData sheetId="0">
        <row r="5">
          <cell r="B5">
            <v>70</v>
          </cell>
        </row>
        <row r="7">
          <cell r="B7">
            <v>52</v>
          </cell>
        </row>
        <row r="8">
          <cell r="B8">
            <v>0.4</v>
          </cell>
        </row>
      </sheetData>
      <sheetData sheetId="1" refreshError="1"/>
      <sheetData sheetId="2">
        <row r="4">
          <cell r="B4">
            <v>110</v>
          </cell>
        </row>
        <row r="19">
          <cell r="B19">
            <v>25</v>
          </cell>
        </row>
      </sheetData>
      <sheetData sheetId="3">
        <row r="5">
          <cell r="D5">
            <v>9000</v>
          </cell>
        </row>
        <row r="6">
          <cell r="D6">
            <v>4000</v>
          </cell>
        </row>
        <row r="7">
          <cell r="D7">
            <v>2500</v>
          </cell>
        </row>
        <row r="8">
          <cell r="D8">
            <v>4000</v>
          </cell>
        </row>
        <row r="10">
          <cell r="D10">
            <v>0.6</v>
          </cell>
        </row>
        <row r="11">
          <cell r="D11">
            <v>0.25</v>
          </cell>
        </row>
        <row r="12">
          <cell r="D12">
            <v>1000</v>
          </cell>
        </row>
        <row r="13">
          <cell r="D13">
            <v>6500</v>
          </cell>
        </row>
        <row r="14">
          <cell r="D14">
            <v>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8">
          <cell r="B58">
            <v>1200</v>
          </cell>
        </row>
        <row r="60">
          <cell r="B60">
            <v>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"/>
      <sheetName val="Valuation"/>
      <sheetName val="Charts"/>
      <sheetName val="Acquiror"/>
      <sheetName val="Assumptions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C8" t="str">
            <v>Confidential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Assumptions"/>
      <sheetName val="Staff"/>
      <sheetName val="Wage Workers"/>
      <sheetName val="Fixed Operating Expenses"/>
      <sheetName val="Initial Equipment"/>
      <sheetName val="Initial Inventory"/>
      <sheetName val="Productivity"/>
      <sheetName val="Shipping"/>
      <sheetName val="Marketing&amp;Sales"/>
      <sheetName val="Marketing&amp;Sales_Karima"/>
      <sheetName val="US Management"/>
      <sheetName val="US HQ"/>
      <sheetName val="Assump Operation"/>
    </sheetNames>
    <sheetDataSet>
      <sheetData sheetId="0">
        <row r="6">
          <cell r="B6">
            <v>12</v>
          </cell>
        </row>
      </sheetData>
      <sheetData sheetId="1">
        <row r="9">
          <cell r="C9">
            <v>3500</v>
          </cell>
        </row>
      </sheetData>
      <sheetData sheetId="2">
        <row r="7">
          <cell r="B7">
            <v>46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Analog Matrix"/>
      <sheetName val="Other Analog Data"/>
      <sheetName val="Unit Model (Old, Combined)"/>
      <sheetName val="Perceptual Map"/>
      <sheetName val="Perceptual Map (Chart)"/>
      <sheetName val="Unit Model (Small Incubator)"/>
      <sheetName val="Unit Model (Large Incubator)"/>
      <sheetName val="Unit Model (Consolidated)"/>
      <sheetName val="Income Statement"/>
      <sheetName val="Revenue Model Graphs"/>
      <sheetName val="Cost Model Graphs"/>
      <sheetName val="Funding"/>
    </sheetNames>
    <sheetDataSet>
      <sheetData sheetId="0">
        <row r="3">
          <cell r="CB3">
            <v>12</v>
          </cell>
        </row>
      </sheetData>
      <sheetData sheetId="1"/>
      <sheetData sheetId="2">
        <row r="3">
          <cell r="CB3">
            <v>12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Analog A"/>
      <sheetName val="Analog B"/>
      <sheetName val="Quanti Matrix"/>
      <sheetName val="Assump._UNIT Investment"/>
      <sheetName val="Salary Assumptions"/>
      <sheetName val="Assump._UNIT Operation"/>
      <sheetName val="Unit Model"/>
      <sheetName val="Unit Model2"/>
      <sheetName val="Assumptions_Corp.Marketing"/>
      <sheetName val="Unit Model_Fran"/>
      <sheetName val="Assumption_Corp.G&amp;A"/>
      <sheetName val="Rollout"/>
      <sheetName val="Rollup"/>
      <sheetName val="Assumption_Propening Expense"/>
    </sheetNames>
    <sheetDataSet>
      <sheetData sheetId="0">
        <row r="7">
          <cell r="D7" t="str">
            <v>PPA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00"/>
  <sheetViews>
    <sheetView showGridLines="0" workbookViewId="0"/>
  </sheetViews>
  <sheetFormatPr baseColWidth="10" defaultColWidth="14.5" defaultRowHeight="15" customHeight="1" x14ac:dyDescent="0.2"/>
  <cols>
    <col min="1" max="1" width="0.1640625" customWidth="1"/>
    <col min="2" max="2" width="2.5" customWidth="1"/>
    <col min="3" max="26" width="8.6640625" customWidth="1"/>
  </cols>
  <sheetData>
    <row r="1" spans="2:3" ht="14.25" customHeight="1" x14ac:dyDescent="0.2">
      <c r="B1" s="1" t="s">
        <v>0</v>
      </c>
    </row>
    <row r="2" spans="2:3" ht="14.25" customHeight="1" x14ac:dyDescent="0.2">
      <c r="C2" s="1"/>
    </row>
    <row r="3" spans="2:3" ht="14.25" customHeight="1" x14ac:dyDescent="0.2">
      <c r="B3" s="2" t="s">
        <v>1</v>
      </c>
    </row>
    <row r="4" spans="2:3" ht="14.25" customHeight="1" x14ac:dyDescent="0.2">
      <c r="B4" s="3">
        <v>1</v>
      </c>
      <c r="C4" s="4" t="s">
        <v>2</v>
      </c>
    </row>
    <row r="5" spans="2:3" ht="14.25" customHeight="1" x14ac:dyDescent="0.2">
      <c r="B5" s="3">
        <v>2</v>
      </c>
      <c r="C5" s="4" t="s">
        <v>3</v>
      </c>
    </row>
    <row r="6" spans="2:3" ht="14.25" customHeight="1" x14ac:dyDescent="0.2">
      <c r="B6" s="3">
        <v>3</v>
      </c>
      <c r="C6" s="4" t="s">
        <v>4</v>
      </c>
    </row>
    <row r="7" spans="2:3" ht="14.25" customHeight="1" x14ac:dyDescent="0.25">
      <c r="B7" s="3">
        <v>4</v>
      </c>
      <c r="C7" s="4" t="s">
        <v>5</v>
      </c>
    </row>
    <row r="8" spans="2:3" ht="14.25" customHeight="1" x14ac:dyDescent="0.2">
      <c r="B8" s="3">
        <v>5</v>
      </c>
      <c r="C8" s="4" t="s">
        <v>6</v>
      </c>
    </row>
    <row r="9" spans="2:3" ht="14.25" customHeight="1" x14ac:dyDescent="0.2">
      <c r="B9" s="3">
        <v>6</v>
      </c>
      <c r="C9" s="4" t="s">
        <v>7</v>
      </c>
    </row>
    <row r="10" spans="2:3" ht="14.25" customHeight="1" x14ac:dyDescent="0.2">
      <c r="B10" s="3">
        <v>7</v>
      </c>
      <c r="C10" s="4" t="s">
        <v>8</v>
      </c>
    </row>
    <row r="11" spans="2:3" ht="14.25" customHeight="1" x14ac:dyDescent="0.2">
      <c r="B11" s="3">
        <v>8</v>
      </c>
      <c r="C11" s="4" t="s">
        <v>9</v>
      </c>
    </row>
    <row r="12" spans="2:3" ht="14.25" customHeight="1" x14ac:dyDescent="0.2">
      <c r="B12" s="3"/>
    </row>
    <row r="13" spans="2:3" ht="14.25" customHeight="1" x14ac:dyDescent="0.2">
      <c r="B13" s="2" t="s">
        <v>10</v>
      </c>
    </row>
    <row r="14" spans="2:3" ht="14.25" customHeight="1" x14ac:dyDescent="0.2">
      <c r="B14" s="3">
        <v>1</v>
      </c>
      <c r="C14" s="4" t="s">
        <v>11</v>
      </c>
    </row>
    <row r="15" spans="2:3" ht="14.25" customHeight="1" x14ac:dyDescent="0.2">
      <c r="B15" s="3">
        <v>2</v>
      </c>
      <c r="C15" s="4" t="s">
        <v>12</v>
      </c>
    </row>
    <row r="16" spans="2:3" ht="14.25" customHeight="1" x14ac:dyDescent="0.2">
      <c r="B16" s="3"/>
    </row>
    <row r="17" spans="2:3" ht="14.25" customHeight="1" x14ac:dyDescent="0.2">
      <c r="B17" s="2" t="s">
        <v>13</v>
      </c>
    </row>
    <row r="18" spans="2:3" ht="14.25" customHeight="1" x14ac:dyDescent="0.2">
      <c r="B18" s="3">
        <v>1</v>
      </c>
      <c r="C18" s="4" t="s">
        <v>14</v>
      </c>
    </row>
    <row r="19" spans="2:3" ht="14.25" customHeight="1" x14ac:dyDescent="0.2"/>
    <row r="20" spans="2:3" ht="14.25" customHeight="1" x14ac:dyDescent="0.2"/>
    <row r="21" spans="2:3" ht="14.25" customHeight="1" x14ac:dyDescent="0.2"/>
    <row r="22" spans="2:3" ht="14.25" customHeight="1" x14ac:dyDescent="0.2"/>
    <row r="23" spans="2:3" ht="14.25" customHeight="1" x14ac:dyDescent="0.2"/>
    <row r="24" spans="2:3" ht="14.25" customHeight="1" x14ac:dyDescent="0.2"/>
    <row r="25" spans="2:3" ht="14.25" customHeight="1" x14ac:dyDescent="0.2"/>
    <row r="26" spans="2:3" ht="14.25" customHeight="1" x14ac:dyDescent="0.2"/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1"/>
  <sheetViews>
    <sheetView showGridLines="0" tabSelected="1" topLeftCell="E1" zoomScale="125" zoomScaleNormal="125" workbookViewId="0">
      <pane ySplit="15" topLeftCell="A19" activePane="bottomLeft" state="frozen"/>
      <selection pane="bottomLeft" activeCell="S25" sqref="S25"/>
    </sheetView>
  </sheetViews>
  <sheetFormatPr baseColWidth="10" defaultColWidth="14.5" defaultRowHeight="15" customHeight="1" x14ac:dyDescent="0.2"/>
  <cols>
    <col min="1" max="1" width="0.83203125" customWidth="1"/>
    <col min="2" max="2" width="13.1640625" customWidth="1"/>
    <col min="3" max="9" width="8.83203125" customWidth="1"/>
    <col min="10" max="10" width="6.1640625" customWidth="1"/>
    <col min="11" max="11" width="13.1640625" customWidth="1"/>
    <col min="12" max="16" width="8.83203125" customWidth="1"/>
    <col min="17" max="17" width="9.1640625" bestFit="1" customWidth="1"/>
    <col min="18" max="18" width="12.5" bestFit="1" customWidth="1"/>
    <col min="19" max="19" width="13.33203125" bestFit="1" customWidth="1"/>
    <col min="20" max="20" width="13.1640625" customWidth="1"/>
    <col min="21" max="21" width="10" bestFit="1" customWidth="1"/>
    <col min="22" max="22" width="8.6640625" bestFit="1" customWidth="1"/>
    <col min="23" max="23" width="8.83203125" customWidth="1"/>
    <col min="24" max="26" width="10.1640625" bestFit="1" customWidth="1"/>
    <col min="27" max="27" width="12.6640625" bestFit="1" customWidth="1"/>
    <col min="28" max="28" width="12.5" bestFit="1" customWidth="1"/>
    <col min="29" max="29" width="11.83203125" bestFit="1" customWidth="1"/>
  </cols>
  <sheetData>
    <row r="1" spans="1:29" ht="3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9" ht="12" customHeight="1" thickBot="1" x14ac:dyDescent="0.25">
      <c r="A2" s="5"/>
      <c r="B2" s="76" t="s">
        <v>15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5"/>
      <c r="P2" s="5"/>
      <c r="Q2" s="5"/>
      <c r="R2" s="5"/>
      <c r="S2" s="5"/>
      <c r="T2" s="5" t="s">
        <v>80</v>
      </c>
      <c r="U2" s="5" t="s">
        <v>83</v>
      </c>
      <c r="V2" s="5" t="s">
        <v>84</v>
      </c>
      <c r="W2" s="5" t="s">
        <v>85</v>
      </c>
      <c r="X2" s="5"/>
      <c r="Y2" s="5"/>
      <c r="Z2" s="5"/>
      <c r="AA2" s="5"/>
      <c r="AB2" s="5" t="s">
        <v>80</v>
      </c>
    </row>
    <row r="3" spans="1:29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 t="s">
        <v>74</v>
      </c>
      <c r="R3" s="5"/>
      <c r="S3" s="5"/>
      <c r="T3">
        <v>800</v>
      </c>
      <c r="U3" s="57">
        <v>0.2</v>
      </c>
      <c r="V3">
        <v>0.35</v>
      </c>
      <c r="W3">
        <f>20+100+10</f>
        <v>130</v>
      </c>
      <c r="Y3" s="5" t="s">
        <v>75</v>
      </c>
      <c r="Z3" s="5"/>
      <c r="AA3" s="5"/>
      <c r="AB3">
        <v>800</v>
      </c>
    </row>
    <row r="4" spans="1:29" ht="27.75" customHeight="1" x14ac:dyDescent="0.2">
      <c r="A4" s="5"/>
      <c r="B4" s="6"/>
      <c r="C4" s="6"/>
      <c r="D4" s="79" t="s">
        <v>16</v>
      </c>
      <c r="E4" s="80"/>
      <c r="F4" s="81" t="s">
        <v>17</v>
      </c>
      <c r="G4" s="80"/>
      <c r="H4" s="81" t="s">
        <v>18</v>
      </c>
      <c r="I4" s="66"/>
      <c r="J4" s="5"/>
      <c r="K4" s="82" t="s">
        <v>19</v>
      </c>
      <c r="L4" s="65"/>
      <c r="M4" s="66"/>
      <c r="N4" s="6"/>
      <c r="O4" s="5"/>
      <c r="P4" s="5"/>
      <c r="Q4" s="5" t="s">
        <v>73</v>
      </c>
      <c r="R4" s="5" t="s">
        <v>76</v>
      </c>
      <c r="S4" s="5" t="s">
        <v>78</v>
      </c>
      <c r="T4" s="5" t="s">
        <v>81</v>
      </c>
      <c r="U4" s="5" t="s">
        <v>82</v>
      </c>
      <c r="Y4" s="5" t="s">
        <v>73</v>
      </c>
      <c r="Z4" s="5" t="s">
        <v>77</v>
      </c>
      <c r="AA4" s="5" t="s">
        <v>79</v>
      </c>
      <c r="AB4" s="5" t="s">
        <v>81</v>
      </c>
      <c r="AC4" s="5" t="s">
        <v>82</v>
      </c>
    </row>
    <row r="5" spans="1:29" ht="13.5" customHeight="1" x14ac:dyDescent="0.2">
      <c r="A5" s="5"/>
      <c r="B5" s="67" t="s">
        <v>20</v>
      </c>
      <c r="C5" s="68"/>
      <c r="D5" s="69">
        <v>8.9999999999999993E-3</v>
      </c>
      <c r="E5" s="70"/>
      <c r="F5" s="69">
        <v>0.01</v>
      </c>
      <c r="G5" s="70"/>
      <c r="H5" s="69">
        <v>0.02</v>
      </c>
      <c r="I5" s="70"/>
      <c r="J5" s="5"/>
      <c r="K5" s="5"/>
      <c r="L5" s="5"/>
      <c r="M5" s="5"/>
      <c r="N5" s="6"/>
      <c r="O5" s="5"/>
      <c r="P5" s="5"/>
      <c r="Q5" s="61">
        <v>100</v>
      </c>
      <c r="R5" s="59">
        <v>50.641221259983169</v>
      </c>
      <c r="S5" s="59">
        <v>11.681690860851255</v>
      </c>
      <c r="T5" s="58">
        <f>($T$3-R5-$W$3-$T$3*$U$3)*(1-$V$3)</f>
        <v>298.58320618101095</v>
      </c>
      <c r="U5" s="58">
        <f>T5*S5</f>
        <v>3487.9567108483816</v>
      </c>
      <c r="Y5" s="61">
        <v>100</v>
      </c>
      <c r="Z5" s="60">
        <v>13.815857816491993</v>
      </c>
      <c r="AA5" s="59">
        <v>75.959854494001817</v>
      </c>
      <c r="AB5" s="59">
        <f>($AB$3-Z5-$W$3-$AB$3*$U$3)*(1-$V$3)</f>
        <v>322.5196924192802</v>
      </c>
      <c r="AC5" s="58">
        <f>AB5*AA5</f>
        <v>24498.548907618744</v>
      </c>
    </row>
    <row r="6" spans="1:29" ht="13.5" customHeight="1" x14ac:dyDescent="0.2">
      <c r="A6" s="5"/>
      <c r="B6" s="74" t="s">
        <v>21</v>
      </c>
      <c r="C6" s="75"/>
      <c r="D6" s="71">
        <v>0.1</v>
      </c>
      <c r="E6" s="72"/>
      <c r="F6" s="71">
        <v>0.3</v>
      </c>
      <c r="G6" s="72"/>
      <c r="H6" s="71">
        <v>0.8</v>
      </c>
      <c r="I6" s="72"/>
      <c r="J6" s="5"/>
      <c r="K6" s="5"/>
      <c r="L6" s="5"/>
      <c r="M6" s="5"/>
      <c r="N6" s="6"/>
      <c r="O6" s="5"/>
      <c r="P6" s="5"/>
      <c r="Q6" s="61">
        <v>200</v>
      </c>
      <c r="R6" s="59">
        <v>49.162283531045446</v>
      </c>
      <c r="S6" s="59">
        <v>12.033108494675972</v>
      </c>
      <c r="T6" s="58">
        <f t="shared" ref="T6:T10" si="0">($T$3-R6-$W$3-$T$3*$U$3)*(1-$V$3)</f>
        <v>299.54451570482047</v>
      </c>
      <c r="U6" s="58">
        <f t="shared" ref="U6:U10" si="1">T6*S6</f>
        <v>3604.451656461275</v>
      </c>
      <c r="Y6" s="61">
        <v>200</v>
      </c>
      <c r="Z6" s="60">
        <v>8.5686050692392435</v>
      </c>
      <c r="AA6" s="59">
        <v>122.47624216198402</v>
      </c>
      <c r="AB6" s="59">
        <f t="shared" ref="AB6:AB11" si="2">($AB$3-Z6-$W$3-$AB$3*$U$3)*(1-$V$3)</f>
        <v>325.93040670499454</v>
      </c>
      <c r="AC6" s="58">
        <f t="shared" ref="AC6:AC11" si="3">AB6*AA6</f>
        <v>39918.731419554853</v>
      </c>
    </row>
    <row r="7" spans="1:29" ht="13.5" customHeight="1" x14ac:dyDescent="0.2">
      <c r="A7" s="5"/>
      <c r="B7" s="74" t="s">
        <v>22</v>
      </c>
      <c r="C7" s="75"/>
      <c r="D7" s="71">
        <f>D8-D6</f>
        <v>0.85</v>
      </c>
      <c r="E7" s="72"/>
      <c r="F7" s="71">
        <v>0.75</v>
      </c>
      <c r="G7" s="72"/>
      <c r="H7" s="71">
        <v>0.30000000000000004</v>
      </c>
      <c r="I7" s="72"/>
      <c r="J7" s="5"/>
      <c r="K7" s="73" t="s">
        <v>23</v>
      </c>
      <c r="L7" s="66"/>
      <c r="M7" s="7">
        <v>15</v>
      </c>
      <c r="N7" s="6"/>
      <c r="O7" s="5"/>
      <c r="P7" s="5"/>
      <c r="Q7" s="62">
        <v>250</v>
      </c>
      <c r="R7" s="58">
        <v>48.866495985257899</v>
      </c>
      <c r="S7" s="59">
        <v>12.105944566877859</v>
      </c>
      <c r="T7" s="58">
        <f t="shared" si="0"/>
        <v>299.73677760958242</v>
      </c>
      <c r="U7" s="58">
        <f t="shared" si="1"/>
        <v>3628.5968143962014</v>
      </c>
      <c r="Y7" s="62">
        <v>250</v>
      </c>
      <c r="Z7" s="60">
        <v>7.5191545197886933</v>
      </c>
      <c r="AA7" s="59">
        <v>139.57028635182797</v>
      </c>
      <c r="AB7" s="59">
        <f t="shared" si="2"/>
        <v>326.61254956213736</v>
      </c>
      <c r="AC7" s="58">
        <f t="shared" si="3"/>
        <v>45585.407068488115</v>
      </c>
    </row>
    <row r="8" spans="1:29" ht="13.5" customHeight="1" x14ac:dyDescent="0.2">
      <c r="A8" s="5"/>
      <c r="B8" s="74" t="s">
        <v>24</v>
      </c>
      <c r="C8" s="75"/>
      <c r="D8" s="71">
        <v>0.95</v>
      </c>
      <c r="E8" s="72"/>
      <c r="F8" s="71">
        <v>1.05</v>
      </c>
      <c r="G8" s="72"/>
      <c r="H8" s="71">
        <v>1.1000000000000001</v>
      </c>
      <c r="I8" s="72"/>
      <c r="J8" s="5"/>
      <c r="K8" s="5"/>
      <c r="L8" s="5"/>
      <c r="M8" s="5"/>
      <c r="N8" s="6"/>
      <c r="O8" s="5"/>
      <c r="P8" s="5"/>
      <c r="Q8" s="61">
        <v>300</v>
      </c>
      <c r="R8" s="59">
        <v>48.669304288066193</v>
      </c>
      <c r="S8" s="59">
        <v>12.154993793904445</v>
      </c>
      <c r="T8" s="58">
        <f t="shared" si="0"/>
        <v>299.86495221275698</v>
      </c>
      <c r="U8" s="58">
        <f t="shared" si="1"/>
        <v>3644.8566331555139</v>
      </c>
      <c r="Y8" s="61">
        <v>300</v>
      </c>
      <c r="Z8" s="60">
        <v>6.8195208201549944</v>
      </c>
      <c r="AA8" s="59">
        <v>153.88919208940806</v>
      </c>
      <c r="AB8" s="59">
        <f t="shared" si="2"/>
        <v>327.06731146689924</v>
      </c>
      <c r="AC8" s="58">
        <f t="shared" si="3"/>
        <v>50332.12432049591</v>
      </c>
    </row>
    <row r="9" spans="1:29" x14ac:dyDescent="0.2">
      <c r="A9" s="5"/>
      <c r="B9" s="8"/>
      <c r="C9" s="9"/>
      <c r="D9" s="84"/>
      <c r="E9" s="72"/>
      <c r="F9" s="84"/>
      <c r="G9" s="72"/>
      <c r="H9" s="84"/>
      <c r="I9" s="72"/>
      <c r="J9" s="5"/>
      <c r="K9" s="6"/>
      <c r="L9" s="6"/>
      <c r="M9" s="6"/>
      <c r="N9" s="6"/>
      <c r="O9" s="5"/>
      <c r="P9" s="5"/>
      <c r="Q9" s="61">
        <v>500</v>
      </c>
      <c r="R9" s="59">
        <v>48.274920893682811</v>
      </c>
      <c r="S9" s="59">
        <v>12.254294375291339</v>
      </c>
      <c r="T9" s="58">
        <f t="shared" si="0"/>
        <v>300.12130141910615</v>
      </c>
      <c r="U9" s="58">
        <f t="shared" si="1"/>
        <v>3677.7747758852693</v>
      </c>
      <c r="Y9" s="61">
        <v>500</v>
      </c>
      <c r="Z9" s="60">
        <v>5.4202534208875948</v>
      </c>
      <c r="AA9" s="59">
        <v>193.61650977542237</v>
      </c>
      <c r="AB9" s="59">
        <f t="shared" si="2"/>
        <v>327.97683527642312</v>
      </c>
      <c r="AC9" s="58">
        <f t="shared" si="3"/>
        <v>63501.73013340967</v>
      </c>
    </row>
    <row r="10" spans="1:29" ht="12" customHeight="1" thickBot="1" x14ac:dyDescent="0.25">
      <c r="A10" s="5"/>
      <c r="B10" s="74" t="s">
        <v>25</v>
      </c>
      <c r="C10" s="75"/>
      <c r="D10" s="71">
        <v>0.05</v>
      </c>
      <c r="E10" s="72"/>
      <c r="F10" s="71">
        <v>0.5</v>
      </c>
      <c r="G10" s="72"/>
      <c r="H10" s="94">
        <v>1</v>
      </c>
      <c r="I10" s="95"/>
      <c r="J10" s="5"/>
      <c r="K10" s="73" t="s">
        <v>26</v>
      </c>
      <c r="L10" s="66"/>
      <c r="M10" s="7">
        <v>364</v>
      </c>
      <c r="N10" s="6"/>
      <c r="O10" s="5"/>
      <c r="P10" s="5"/>
      <c r="Q10" s="61">
        <v>1000</v>
      </c>
      <c r="R10" s="59">
        <v>47.979133347895264</v>
      </c>
      <c r="S10" s="59">
        <v>12.329841126674763</v>
      </c>
      <c r="T10" s="58">
        <f t="shared" si="0"/>
        <v>300.31356332386804</v>
      </c>
      <c r="U10" s="58">
        <f t="shared" si="1"/>
        <v>3702.8185239688737</v>
      </c>
      <c r="Y10" s="61">
        <v>1000</v>
      </c>
      <c r="Z10" s="60">
        <v>4.3708028714370446</v>
      </c>
      <c r="AA10" s="59">
        <v>240.10475427950567</v>
      </c>
      <c r="AB10" s="59">
        <f t="shared" si="2"/>
        <v>328.65897813356594</v>
      </c>
      <c r="AC10" s="58">
        <f t="shared" si="3"/>
        <v>78912.583186513279</v>
      </c>
    </row>
    <row r="11" spans="1:29" ht="15" customHeight="1" thickBot="1" x14ac:dyDescent="0.25">
      <c r="A11" s="5"/>
      <c r="B11" s="74" t="s">
        <v>27</v>
      </c>
      <c r="C11" s="75"/>
      <c r="D11" s="83">
        <v>100</v>
      </c>
      <c r="E11" s="78"/>
      <c r="F11" s="83">
        <v>200</v>
      </c>
      <c r="G11" s="78"/>
      <c r="H11" s="83">
        <f>U13</f>
        <v>300</v>
      </c>
      <c r="I11" s="78"/>
      <c r="J11" s="5"/>
      <c r="K11" s="5"/>
      <c r="L11" s="5"/>
      <c r="M11" s="5"/>
      <c r="N11" s="6"/>
      <c r="O11" s="5"/>
      <c r="P11" s="5"/>
      <c r="Q11" s="5"/>
      <c r="R11" s="5"/>
      <c r="S11" s="5"/>
      <c r="Y11" s="63">
        <v>2000</v>
      </c>
      <c r="Z11" s="60">
        <v>3.8460775967117704</v>
      </c>
      <c r="AA11" s="59">
        <v>272.86255231766103</v>
      </c>
      <c r="AB11" s="59">
        <f t="shared" si="2"/>
        <v>329.00004956213735</v>
      </c>
      <c r="AC11" s="58">
        <f t="shared" si="3"/>
        <v>89771.793236161771</v>
      </c>
    </row>
    <row r="12" spans="1:29" ht="6" customHeight="1" thickBot="1" x14ac:dyDescent="0.25">
      <c r="A12" s="5"/>
      <c r="B12" s="8"/>
      <c r="C12" s="9"/>
      <c r="D12" s="84"/>
      <c r="E12" s="72"/>
      <c r="F12" s="84"/>
      <c r="G12" s="72"/>
      <c r="H12" s="84"/>
      <c r="I12" s="72"/>
      <c r="J12" s="5"/>
      <c r="K12" s="6"/>
      <c r="L12" s="6"/>
      <c r="M12" s="6"/>
      <c r="N12" s="6"/>
      <c r="O12" s="5"/>
      <c r="P12" s="5"/>
      <c r="Q12" s="5"/>
      <c r="R12" s="5"/>
      <c r="S12" s="5"/>
      <c r="U12" s="6"/>
      <c r="V12" s="6"/>
      <c r="W12" s="5"/>
      <c r="X12" s="5"/>
      <c r="Y12" s="5"/>
      <c r="Z12" s="5"/>
      <c r="AA12" s="5"/>
    </row>
    <row r="13" spans="1:29" ht="12" customHeight="1" thickBot="1" x14ac:dyDescent="0.25">
      <c r="A13" s="5"/>
      <c r="B13" s="89" t="s">
        <v>28</v>
      </c>
      <c r="C13" s="90"/>
      <c r="D13" s="85">
        <v>1</v>
      </c>
      <c r="E13" s="86"/>
      <c r="F13" s="85">
        <v>500000</v>
      </c>
      <c r="G13" s="86"/>
      <c r="H13" s="85">
        <v>3000000</v>
      </c>
      <c r="I13" s="86"/>
      <c r="J13" s="5"/>
      <c r="K13" s="73" t="s">
        <v>29</v>
      </c>
      <c r="L13" s="87"/>
      <c r="M13" s="10">
        <v>100</v>
      </c>
      <c r="N13" s="6"/>
      <c r="O13" s="5"/>
      <c r="P13" s="5"/>
      <c r="Q13" s="5"/>
      <c r="R13" s="5"/>
      <c r="S13" s="5"/>
      <c r="T13" s="6" t="s">
        <v>50</v>
      </c>
      <c r="U13" s="92">
        <v>300</v>
      </c>
      <c r="V13" s="5"/>
      <c r="W13" s="5"/>
      <c r="X13" s="5"/>
      <c r="Y13" s="5"/>
      <c r="Z13" s="5"/>
      <c r="AA13" s="5"/>
    </row>
    <row r="14" spans="1:29" ht="9.75" customHeight="1" x14ac:dyDescent="0.2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  <c r="AA14" s="5"/>
    </row>
    <row r="15" spans="1:29" ht="12" customHeight="1" x14ac:dyDescent="0.2">
      <c r="A15" s="5"/>
      <c r="B15" s="6"/>
      <c r="C15" s="88" t="s">
        <v>30</v>
      </c>
      <c r="D15" s="65"/>
      <c r="E15" s="65"/>
      <c r="F15" s="65"/>
      <c r="G15" s="65"/>
      <c r="H15" s="65"/>
      <c r="I15" s="66"/>
      <c r="J15" s="6"/>
      <c r="K15" s="6"/>
      <c r="L15" s="88" t="s">
        <v>31</v>
      </c>
      <c r="M15" s="65"/>
      <c r="N15" s="65"/>
      <c r="O15" s="65"/>
      <c r="P15" s="65"/>
      <c r="Q15" s="65"/>
      <c r="R15" s="66"/>
      <c r="S15" s="6"/>
      <c r="T15" s="6"/>
      <c r="U15" s="88" t="s">
        <v>32</v>
      </c>
      <c r="V15" s="65"/>
      <c r="W15" s="65"/>
      <c r="X15" s="65"/>
      <c r="Y15" s="65"/>
      <c r="Z15" s="65"/>
      <c r="AA15" s="66"/>
    </row>
    <row r="16" spans="1:29" ht="3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  <c r="AA16" s="5"/>
    </row>
    <row r="17" spans="1:27" ht="12" customHeight="1" thickBot="1" x14ac:dyDescent="0.25">
      <c r="A17" s="5"/>
      <c r="B17" s="56" t="s">
        <v>72</v>
      </c>
      <c r="C17" s="64" t="s">
        <v>33</v>
      </c>
      <c r="D17" s="65"/>
      <c r="E17" s="65"/>
      <c r="F17" s="65"/>
      <c r="G17" s="65"/>
      <c r="H17" s="65"/>
      <c r="I17" s="66"/>
      <c r="J17" s="5"/>
      <c r="K17" s="6"/>
      <c r="L17" s="64" t="s">
        <v>33</v>
      </c>
      <c r="M17" s="65"/>
      <c r="N17" s="65"/>
      <c r="O17" s="65"/>
      <c r="P17" s="65"/>
      <c r="Q17" s="65"/>
      <c r="R17" s="66"/>
      <c r="S17" s="5"/>
      <c r="T17" s="6"/>
      <c r="U17" s="64" t="s">
        <v>33</v>
      </c>
      <c r="V17" s="65"/>
      <c r="W17" s="65"/>
      <c r="X17" s="65"/>
      <c r="Y17" s="65"/>
      <c r="Z17" s="65"/>
      <c r="AA17" s="66"/>
    </row>
    <row r="18" spans="1:27" ht="12" customHeight="1" thickBot="1" x14ac:dyDescent="0.25">
      <c r="A18" s="5"/>
      <c r="B18" s="11" t="s">
        <v>34</v>
      </c>
      <c r="C18" s="12">
        <v>500</v>
      </c>
      <c r="D18" s="13">
        <v>1000</v>
      </c>
      <c r="E18" s="13">
        <v>1500</v>
      </c>
      <c r="F18" s="13">
        <v>2500</v>
      </c>
      <c r="G18" s="13">
        <v>4000</v>
      </c>
      <c r="H18" s="13">
        <v>8000</v>
      </c>
      <c r="I18" s="14">
        <v>16000</v>
      </c>
      <c r="J18" s="5"/>
      <c r="K18" s="11" t="s">
        <v>35</v>
      </c>
      <c r="L18" s="15">
        <v>5000</v>
      </c>
      <c r="M18" s="16">
        <v>6500</v>
      </c>
      <c r="N18" s="16">
        <f>$E$18</f>
        <v>1500</v>
      </c>
      <c r="O18" s="16">
        <v>2000</v>
      </c>
      <c r="P18" s="16">
        <v>2500</v>
      </c>
      <c r="Q18" s="16">
        <v>3000</v>
      </c>
      <c r="R18" s="17">
        <v>4500</v>
      </c>
      <c r="S18" s="5"/>
      <c r="T18" s="11" t="s">
        <v>36</v>
      </c>
      <c r="U18" s="15">
        <f>$C$18</f>
        <v>500</v>
      </c>
      <c r="V18" s="16">
        <f>$D$18</f>
        <v>1000</v>
      </c>
      <c r="W18" s="16">
        <f>$E$18</f>
        <v>1500</v>
      </c>
      <c r="X18" s="16">
        <f>$F$18</f>
        <v>2500</v>
      </c>
      <c r="Y18" s="16">
        <f>$G$18</f>
        <v>4000</v>
      </c>
      <c r="Z18" s="16">
        <f>$H$18</f>
        <v>8000</v>
      </c>
      <c r="AA18" s="17">
        <f>$I$18</f>
        <v>16000</v>
      </c>
    </row>
    <row r="19" spans="1:27" ht="12" customHeight="1" x14ac:dyDescent="0.2">
      <c r="A19" s="5"/>
      <c r="B19" s="18">
        <v>100000</v>
      </c>
      <c r="C19" s="19">
        <f t="shared" ref="C19:I19" si="4">IFERROR(24/IF($D$13&gt;$B19,"na",($D$10+$D$11/(($D$5*($B19^$D$6)*((C$18*$M$10)^$D$7))/$M$10))/$D$11*24),"na")</f>
        <v>2.3104671810802193</v>
      </c>
      <c r="D19" s="20">
        <f t="shared" si="4"/>
        <v>4.1607618889972855</v>
      </c>
      <c r="E19" s="20">
        <f t="shared" si="4"/>
        <v>5.867847418441472</v>
      </c>
      <c r="F19" s="20">
        <f t="shared" si="4"/>
        <v>9.0439465608717509</v>
      </c>
      <c r="G19" s="20">
        <f t="shared" si="4"/>
        <v>13.455400178266663</v>
      </c>
      <c r="H19" s="20">
        <f t="shared" si="4"/>
        <v>24.123130835842922</v>
      </c>
      <c r="I19" s="21">
        <f t="shared" si="4"/>
        <v>43.065120375035633</v>
      </c>
      <c r="J19" s="5">
        <f>D19/C19</f>
        <v>1.8008314175888847</v>
      </c>
      <c r="K19" s="22">
        <f>$B$19</f>
        <v>100000</v>
      </c>
      <c r="L19" s="19" t="str">
        <f t="shared" ref="L19:R19" si="5">IFERROR(24/IF($F$13&gt;$K19,"na",($F$10+$F$11/(($F$5*($K19^$F$6)*((L$18*$M$10)^$F$7))/$M$10))/$F$11*24),"na")</f>
        <v>na</v>
      </c>
      <c r="M19" s="20" t="str">
        <f t="shared" si="5"/>
        <v>na</v>
      </c>
      <c r="N19" s="20" t="str">
        <f t="shared" si="5"/>
        <v>na</v>
      </c>
      <c r="O19" s="20" t="str">
        <f t="shared" si="5"/>
        <v>na</v>
      </c>
      <c r="P19" s="20" t="str">
        <f t="shared" si="5"/>
        <v>na</v>
      </c>
      <c r="Q19" s="20" t="str">
        <f t="shared" si="5"/>
        <v>na</v>
      </c>
      <c r="R19" s="21" t="str">
        <f t="shared" si="5"/>
        <v>na</v>
      </c>
      <c r="S19" s="5"/>
      <c r="T19" s="22">
        <f>$B$19</f>
        <v>100000</v>
      </c>
      <c r="U19" s="19" t="str">
        <f t="shared" ref="U19:AA19" si="6">IFERROR(24/IF($H$13&gt;$T19,"na",($H$10+$H$11/(($H$5*($T19^$H$6)*((U$18*$M$10)^$H$7))/$M$10))/$H$11*24),"na")</f>
        <v>na</v>
      </c>
      <c r="V19" s="20" t="str">
        <f t="shared" si="6"/>
        <v>na</v>
      </c>
      <c r="W19" s="20" t="str">
        <f t="shared" si="6"/>
        <v>na</v>
      </c>
      <c r="X19" s="20" t="str">
        <f t="shared" si="6"/>
        <v>na</v>
      </c>
      <c r="Y19" s="20" t="str">
        <f t="shared" si="6"/>
        <v>na</v>
      </c>
      <c r="Z19" s="20" t="str">
        <f t="shared" si="6"/>
        <v>na</v>
      </c>
      <c r="AA19" s="21" t="str">
        <f t="shared" si="6"/>
        <v>na</v>
      </c>
    </row>
    <row r="20" spans="1:27" ht="12" customHeight="1" x14ac:dyDescent="0.2">
      <c r="A20" s="5"/>
      <c r="B20" s="23">
        <v>200000</v>
      </c>
      <c r="C20" s="24">
        <f t="shared" ref="C20:I20" si="7">IFERROR(24/IF($D$13&gt;$B20,"na",($D$10+$D$11/(($D$5*($B20^$D$6)*((C$18*$M$10)^$D$7))/$M$10))/$D$11*24),"na")</f>
        <v>2.4760921052815732</v>
      </c>
      <c r="D20" s="25">
        <f t="shared" si="7"/>
        <v>4.4587284164263599</v>
      </c>
      <c r="E20" s="25">
        <f t="shared" si="7"/>
        <v>6.2876790992670211</v>
      </c>
      <c r="F20" s="25">
        <f t="shared" si="7"/>
        <v>9.6899169835647516</v>
      </c>
      <c r="G20" s="25">
        <f t="shared" si="7"/>
        <v>14.414180658696607</v>
      </c>
      <c r="H20" s="25">
        <f t="shared" si="7"/>
        <v>25.832168546734174</v>
      </c>
      <c r="I20" s="26">
        <f t="shared" si="7"/>
        <v>46.084830621530038</v>
      </c>
      <c r="J20" s="5"/>
      <c r="K20" s="27">
        <f>$B$20</f>
        <v>200000</v>
      </c>
      <c r="L20" s="24" t="str">
        <f t="shared" ref="L20:R20" si="8">IFERROR(24/IF($F$13&gt;$K20,"na",($F$10+$F$11/(($F$5*($K20^$F$6)*((L$18*$M$10)^$F$7))/$M$10))/$F$11*24),"na")</f>
        <v>na</v>
      </c>
      <c r="M20" s="25" t="str">
        <f t="shared" si="8"/>
        <v>na</v>
      </c>
      <c r="N20" s="25" t="str">
        <f t="shared" si="8"/>
        <v>na</v>
      </c>
      <c r="O20" s="25" t="str">
        <f t="shared" si="8"/>
        <v>na</v>
      </c>
      <c r="P20" s="25" t="str">
        <f t="shared" si="8"/>
        <v>na</v>
      </c>
      <c r="Q20" s="25" t="str">
        <f t="shared" si="8"/>
        <v>na</v>
      </c>
      <c r="R20" s="26" t="str">
        <f t="shared" si="8"/>
        <v>na</v>
      </c>
      <c r="S20" s="5"/>
      <c r="T20" s="27">
        <f>$B$20</f>
        <v>200000</v>
      </c>
      <c r="U20" s="24" t="str">
        <f t="shared" ref="U20:AA20" si="9">IFERROR(24/IF($H$13&gt;$T20,"na",($H$10+$H$11/(($H$5*($T20^$H$6)*((U$18*$M$10)^$H$7))/$M$10))/$H$11*24),"na")</f>
        <v>na</v>
      </c>
      <c r="V20" s="25" t="str">
        <f t="shared" si="9"/>
        <v>na</v>
      </c>
      <c r="W20" s="25" t="str">
        <f t="shared" si="9"/>
        <v>na</v>
      </c>
      <c r="X20" s="25" t="str">
        <f t="shared" si="9"/>
        <v>na</v>
      </c>
      <c r="Y20" s="25" t="str">
        <f t="shared" si="9"/>
        <v>na</v>
      </c>
      <c r="Z20" s="25" t="str">
        <f t="shared" si="9"/>
        <v>na</v>
      </c>
      <c r="AA20" s="26" t="str">
        <f t="shared" si="9"/>
        <v>na</v>
      </c>
    </row>
    <row r="21" spans="1:27" ht="12" customHeight="1" x14ac:dyDescent="0.2">
      <c r="A21" s="5"/>
      <c r="B21" s="23">
        <v>300000</v>
      </c>
      <c r="C21" s="24">
        <f t="shared" ref="C21:I21" si="10">IFERROR(24/IF($D$13&gt;$B21,"na",($D$10+$D$11/(($D$5*($B21^$D$6)*((C$18*$M$10)^$D$7))/$M$10))/$D$11*24),"na")</f>
        <v>2.5784200701655355</v>
      </c>
      <c r="D21" s="25">
        <f t="shared" si="10"/>
        <v>4.6428011560079341</v>
      </c>
      <c r="E21" s="25">
        <f t="shared" si="10"/>
        <v>6.5470099418256558</v>
      </c>
      <c r="F21" s="25">
        <f t="shared" si="10"/>
        <v>10.088860621175394</v>
      </c>
      <c r="G21" s="25">
        <f t="shared" si="10"/>
        <v>15.006160513687528</v>
      </c>
      <c r="H21" s="25">
        <f t="shared" si="10"/>
        <v>26.886727073261223</v>
      </c>
      <c r="I21" s="26">
        <f t="shared" si="10"/>
        <v>47.94609303046505</v>
      </c>
      <c r="J21" s="5"/>
      <c r="K21" s="27">
        <f>$B$21</f>
        <v>300000</v>
      </c>
      <c r="L21" s="24" t="str">
        <f t="shared" ref="L21:R21" si="11">IFERROR(24/IF($F$13&gt;$K21,"na",($F$10+$F$11/(($F$5*($K21^$F$6)*((L$18*$M$10)^$F$7))/$M$10))/$F$11*24),"na")</f>
        <v>na</v>
      </c>
      <c r="M21" s="25" t="str">
        <f t="shared" si="11"/>
        <v>na</v>
      </c>
      <c r="N21" s="25" t="str">
        <f t="shared" si="11"/>
        <v>na</v>
      </c>
      <c r="O21" s="25" t="str">
        <f t="shared" si="11"/>
        <v>na</v>
      </c>
      <c r="P21" s="25" t="str">
        <f t="shared" si="11"/>
        <v>na</v>
      </c>
      <c r="Q21" s="25" t="str">
        <f t="shared" si="11"/>
        <v>na</v>
      </c>
      <c r="R21" s="26" t="str">
        <f t="shared" si="11"/>
        <v>na</v>
      </c>
      <c r="S21" s="5"/>
      <c r="T21" s="27">
        <f>$B$21</f>
        <v>300000</v>
      </c>
      <c r="U21" s="24" t="str">
        <f t="shared" ref="U21:AA21" si="12">IFERROR(24/IF($H$13&gt;$T21,"na",($H$10+$H$11/(($H$5*($T21^$H$6)*((U$18*$M$10)^$H$7))/$M$10))/$H$11*24),"na")</f>
        <v>na</v>
      </c>
      <c r="V21" s="25" t="str">
        <f t="shared" si="12"/>
        <v>na</v>
      </c>
      <c r="W21" s="25" t="str">
        <f t="shared" si="12"/>
        <v>na</v>
      </c>
      <c r="X21" s="25" t="str">
        <f t="shared" si="12"/>
        <v>na</v>
      </c>
      <c r="Y21" s="25" t="str">
        <f t="shared" si="12"/>
        <v>na</v>
      </c>
      <c r="Z21" s="25" t="str">
        <f t="shared" si="12"/>
        <v>na</v>
      </c>
      <c r="AA21" s="26" t="str">
        <f t="shared" si="12"/>
        <v>na</v>
      </c>
    </row>
    <row r="22" spans="1:27" ht="12" customHeight="1" x14ac:dyDescent="0.2">
      <c r="A22" s="5"/>
      <c r="B22" s="23">
        <v>400000</v>
      </c>
      <c r="C22" s="24">
        <f t="shared" ref="C22:I22" si="13">IFERROR(24/IF($D$13&gt;$B22,"na",($D$10+$D$11/(($D$5*($B22^$D$6)*((C$18*$M$10)^$D$7))/$M$10))/$D$11*24),"na")</f>
        <v>2.6535740156957397</v>
      </c>
      <c r="D22" s="25">
        <f t="shared" si="13"/>
        <v>4.7779822723162884</v>
      </c>
      <c r="E22" s="25">
        <f t="shared" si="13"/>
        <v>6.7374473332871476</v>
      </c>
      <c r="F22" s="25">
        <f t="shared" si="13"/>
        <v>10.381785720741101</v>
      </c>
      <c r="G22" s="25">
        <f t="shared" si="13"/>
        <v>15.440749157012171</v>
      </c>
      <c r="H22" s="25">
        <f t="shared" si="13"/>
        <v>27.66059047313782</v>
      </c>
      <c r="I22" s="26">
        <f t="shared" si="13"/>
        <v>49.310946369308631</v>
      </c>
      <c r="J22" s="5"/>
      <c r="K22" s="27">
        <f>$B$22</f>
        <v>400000</v>
      </c>
      <c r="L22" s="24" t="str">
        <f t="shared" ref="L22:R22" si="14">IFERROR(24/IF($F$13&gt;$K22,"na",($F$10+$F$11/(($F$5*($K22^$F$6)*((L$18*$M$10)^$F$7))/$M$10))/$F$11*24),"na")</f>
        <v>na</v>
      </c>
      <c r="M22" s="25" t="str">
        <f t="shared" si="14"/>
        <v>na</v>
      </c>
      <c r="N22" s="25" t="str">
        <f t="shared" si="14"/>
        <v>na</v>
      </c>
      <c r="O22" s="25" t="str">
        <f t="shared" si="14"/>
        <v>na</v>
      </c>
      <c r="P22" s="25" t="str">
        <f t="shared" si="14"/>
        <v>na</v>
      </c>
      <c r="Q22" s="25" t="str">
        <f t="shared" si="14"/>
        <v>na</v>
      </c>
      <c r="R22" s="26" t="str">
        <f t="shared" si="14"/>
        <v>na</v>
      </c>
      <c r="S22" s="5"/>
      <c r="T22" s="27">
        <f>$B$22</f>
        <v>400000</v>
      </c>
      <c r="U22" s="24" t="str">
        <f t="shared" ref="U22:AA22" si="15">IFERROR(24/IF($H$13&gt;$T22,"na",($H$10+$H$11/(($H$5*($T22^$H$6)*((U$18*$M$10)^$H$7))/$M$10))/$H$11*24),"na")</f>
        <v>na</v>
      </c>
      <c r="V22" s="25" t="str">
        <f t="shared" si="15"/>
        <v>na</v>
      </c>
      <c r="W22" s="25" t="str">
        <f t="shared" si="15"/>
        <v>na</v>
      </c>
      <c r="X22" s="25" t="str">
        <f t="shared" si="15"/>
        <v>na</v>
      </c>
      <c r="Y22" s="25" t="str">
        <f t="shared" si="15"/>
        <v>na</v>
      </c>
      <c r="Z22" s="25" t="str">
        <f t="shared" si="15"/>
        <v>na</v>
      </c>
      <c r="AA22" s="26" t="str">
        <f t="shared" si="15"/>
        <v>na</v>
      </c>
    </row>
    <row r="23" spans="1:27" ht="12" customHeight="1" x14ac:dyDescent="0.2">
      <c r="A23" s="5"/>
      <c r="B23" s="23">
        <v>500000</v>
      </c>
      <c r="C23" s="24">
        <f t="shared" ref="C23:I23" si="16">IFERROR(24/IF($D$13&gt;$B23,"na",($D$10+$D$11/(($D$5*($B23^$D$6)*((C$18*$M$10)^$D$7))/$M$10))/$D$11*24),"na")</f>
        <v>2.7133711616682552</v>
      </c>
      <c r="D23" s="25">
        <f t="shared" si="16"/>
        <v>4.8855349450555714</v>
      </c>
      <c r="E23" s="25">
        <f t="shared" si="16"/>
        <v>6.8889553924752649</v>
      </c>
      <c r="F23" s="25">
        <f t="shared" si="16"/>
        <v>10.614809261688023</v>
      </c>
      <c r="G23" s="25">
        <f t="shared" si="16"/>
        <v>15.786422301795046</v>
      </c>
      <c r="H23" s="25">
        <f t="shared" si="16"/>
        <v>28.275932305327185</v>
      </c>
      <c r="I23" s="26">
        <f t="shared" si="16"/>
        <v>50.395619009120324</v>
      </c>
      <c r="J23" s="5"/>
      <c r="K23" s="27">
        <f>$B$23</f>
        <v>500000</v>
      </c>
      <c r="L23" s="24">
        <f t="shared" ref="L23:R23" si="17">IFERROR(24/IF($F$13&gt;$K23,"na",($F$10+$F$11/(($F$5*($K23^$F$6)*((L$18*$M$10)^$F$7))/$M$10))/$F$11*24),"na")</f>
        <v>59.404817751690928</v>
      </c>
      <c r="M23" s="25">
        <f t="shared" si="17"/>
        <v>70.060734333939138</v>
      </c>
      <c r="N23" s="25">
        <f t="shared" si="17"/>
        <v>26.412893912046513</v>
      </c>
      <c r="O23" s="25">
        <f t="shared" si="17"/>
        <v>32.260318883808267</v>
      </c>
      <c r="P23" s="25">
        <f t="shared" si="17"/>
        <v>37.585178807039277</v>
      </c>
      <c r="Q23" s="25">
        <f t="shared" si="17"/>
        <v>42.507322999701195</v>
      </c>
      <c r="R23" s="26">
        <f t="shared" si="17"/>
        <v>55.5177545791014</v>
      </c>
      <c r="S23" s="5"/>
      <c r="T23" s="27">
        <f>$B$23</f>
        <v>500000</v>
      </c>
      <c r="U23" s="24" t="str">
        <f t="shared" ref="U23:AA23" si="18">IFERROR(24/IF($H$13&gt;$T23,"na",($H$10+$H$11/(($H$5*($T23^$H$6)*((U$18*$M$10)^$H$7))/$M$10))/$H$11*24),"na")</f>
        <v>na</v>
      </c>
      <c r="V23" s="25" t="str">
        <f t="shared" si="18"/>
        <v>na</v>
      </c>
      <c r="W23" s="25" t="str">
        <f t="shared" si="18"/>
        <v>na</v>
      </c>
      <c r="X23" s="25" t="str">
        <f t="shared" si="18"/>
        <v>na</v>
      </c>
      <c r="Y23" s="25" t="str">
        <f t="shared" si="18"/>
        <v>na</v>
      </c>
      <c r="Z23" s="25" t="str">
        <f t="shared" si="18"/>
        <v>na</v>
      </c>
      <c r="AA23" s="26" t="str">
        <f t="shared" si="18"/>
        <v>na</v>
      </c>
    </row>
    <row r="24" spans="1:27" ht="12" customHeight="1" x14ac:dyDescent="0.2">
      <c r="A24" s="5"/>
      <c r="B24" s="23">
        <v>600000</v>
      </c>
      <c r="C24" s="24">
        <f t="shared" ref="C24:I24" si="19">IFERROR(24/IF($D$13&gt;$B24,"na",($D$10+$D$11/(($D$5*($B24^$D$6)*((C$18*$M$10)^$D$7))/$M$10))/$D$11*24),"na")</f>
        <v>2.7632265221727379</v>
      </c>
      <c r="D24" s="25">
        <f t="shared" si="19"/>
        <v>4.9752021277514702</v>
      </c>
      <c r="E24" s="25">
        <f t="shared" si="19"/>
        <v>7.0152632729872808</v>
      </c>
      <c r="F24" s="25">
        <f t="shared" si="19"/>
        <v>10.809059593637825</v>
      </c>
      <c r="G24" s="25">
        <f t="shared" si="19"/>
        <v>16.074548114531297</v>
      </c>
      <c r="H24" s="25">
        <f t="shared" si="19"/>
        <v>28.788703021393712</v>
      </c>
      <c r="I24" s="26">
        <f t="shared" si="19"/>
        <v>51.299083474428997</v>
      </c>
      <c r="J24" s="5"/>
      <c r="K24" s="27">
        <f>$B$24</f>
        <v>600000</v>
      </c>
      <c r="L24" s="24">
        <f t="shared" ref="L24:R24" si="20">IFERROR(24/IF($F$13&gt;$K24,"na",($F$10+$F$11/(($F$5*($K24^$F$6)*((L$18*$M$10)^$F$7))/$M$10))/$F$11*24),"na")</f>
        <v>62.225016757102637</v>
      </c>
      <c r="M24" s="25">
        <f t="shared" si="20"/>
        <v>73.277976127727598</v>
      </c>
      <c r="N24" s="25">
        <f t="shared" si="20"/>
        <v>27.794643082499963</v>
      </c>
      <c r="O24" s="25">
        <f t="shared" si="20"/>
        <v>33.920192555728441</v>
      </c>
      <c r="P24" s="25">
        <f t="shared" si="20"/>
        <v>39.489608806138719</v>
      </c>
      <c r="Q24" s="25">
        <f t="shared" si="20"/>
        <v>44.630443197456579</v>
      </c>
      <c r="R24" s="26">
        <f t="shared" si="20"/>
        <v>58.184942947089944</v>
      </c>
      <c r="S24" s="5"/>
      <c r="T24" s="27">
        <f>$B$24</f>
        <v>600000</v>
      </c>
      <c r="U24" s="24" t="str">
        <f t="shared" ref="U24:AA24" si="21">IFERROR(24/IF($H$13&gt;$T24,"na",($H$10+$H$11/(($H$5*($T24^$H$6)*((U$18*$M$10)^$H$7))/$M$10))/$H$11*24),"na")</f>
        <v>na</v>
      </c>
      <c r="V24" s="25" t="str">
        <f t="shared" si="21"/>
        <v>na</v>
      </c>
      <c r="W24" s="25" t="str">
        <f t="shared" si="21"/>
        <v>na</v>
      </c>
      <c r="X24" s="25" t="str">
        <f t="shared" si="21"/>
        <v>na</v>
      </c>
      <c r="Y24" s="25" t="str">
        <f t="shared" si="21"/>
        <v>na</v>
      </c>
      <c r="Z24" s="25" t="str">
        <f t="shared" si="21"/>
        <v>na</v>
      </c>
      <c r="AA24" s="26" t="str">
        <f t="shared" si="21"/>
        <v>na</v>
      </c>
    </row>
    <row r="25" spans="1:27" ht="12" customHeight="1" x14ac:dyDescent="0.2">
      <c r="A25" s="5"/>
      <c r="B25" s="23">
        <v>700000</v>
      </c>
      <c r="C25" s="24">
        <f t="shared" ref="C25:I25" si="22">IFERROR(24/IF($D$13&gt;$B25,"na",($D$10+$D$11/(($D$5*($B25^$D$6)*((C$18*$M$10)^$D$7))/$M$10))/$D$11*24),"na")</f>
        <v>2.806091619050687</v>
      </c>
      <c r="D25" s="25">
        <f t="shared" si="22"/>
        <v>5.0522941314491074</v>
      </c>
      <c r="E25" s="25">
        <f t="shared" si="22"/>
        <v>7.123853657560864</v>
      </c>
      <c r="F25" s="25">
        <f t="shared" si="22"/>
        <v>10.976051341972427</v>
      </c>
      <c r="G25" s="25">
        <f t="shared" si="22"/>
        <v>16.322220159300084</v>
      </c>
      <c r="H25" s="25">
        <f t="shared" si="22"/>
        <v>29.229384974860672</v>
      </c>
      <c r="I25" s="26">
        <f t="shared" si="22"/>
        <v>52.075239211843261</v>
      </c>
      <c r="J25" s="5"/>
      <c r="K25" s="27">
        <f>$B$25</f>
        <v>700000</v>
      </c>
      <c r="L25" s="24">
        <f t="shared" ref="L25:R25" si="23">IFERROR(24/IF($F$13&gt;$K25,"na",($F$10+$F$11/(($F$5*($K25^$F$6)*((L$18*$M$10)^$F$7))/$M$10))/$F$11*24),"na")</f>
        <v>64.693862470815219</v>
      </c>
      <c r="M25" s="25">
        <f t="shared" si="23"/>
        <v>76.086575783798864</v>
      </c>
      <c r="N25" s="25">
        <f t="shared" si="23"/>
        <v>29.014770385824239</v>
      </c>
      <c r="O25" s="25">
        <f t="shared" si="23"/>
        <v>35.383655957946324</v>
      </c>
      <c r="P25" s="25">
        <f t="shared" si="23"/>
        <v>41.166339951710455</v>
      </c>
      <c r="Q25" s="25">
        <f t="shared" si="23"/>
        <v>46.497301510669089</v>
      </c>
      <c r="R25" s="26">
        <f t="shared" si="23"/>
        <v>60.522215703438334</v>
      </c>
      <c r="S25" s="5"/>
      <c r="T25" s="27">
        <v>3000000</v>
      </c>
      <c r="U25" s="24">
        <f t="shared" ref="U25:AA25" si="24">IFERROR(24/IF($H$13&gt;$T25,"na",($H$10+$H$11/(($H$5*($T25^$H$6)*((U$18*$M$10)^$H$7))/$M$10))/$H$11*24),"na")</f>
        <v>153.88919208940806</v>
      </c>
      <c r="V25" s="25">
        <f t="shared" si="24"/>
        <v>169.37699892955828</v>
      </c>
      <c r="W25" s="25">
        <f t="shared" si="24"/>
        <v>178.26692053177013</v>
      </c>
      <c r="X25" s="25">
        <f t="shared" si="24"/>
        <v>189.17351573396346</v>
      </c>
      <c r="Y25" s="25">
        <f t="shared" si="24"/>
        <v>198.83349096136905</v>
      </c>
      <c r="Z25" s="25">
        <f t="shared" si="24"/>
        <v>212.27304181906013</v>
      </c>
      <c r="AA25" s="26">
        <f t="shared" si="24"/>
        <v>224.60420670293607</v>
      </c>
    </row>
    <row r="26" spans="1:27" ht="12" customHeight="1" x14ac:dyDescent="0.2">
      <c r="A26" s="5"/>
      <c r="B26" s="23">
        <v>800000</v>
      </c>
      <c r="C26" s="24">
        <f t="shared" ref="C26:I26" si="25">IFERROR(24/IF($D$13&gt;$B26,"na",($D$10+$D$11/(($D$5*($B26^$D$6)*((C$18*$M$10)^$D$7))/$M$10))/$D$11*24),"na")</f>
        <v>2.8437594051003763</v>
      </c>
      <c r="D26" s="25">
        <f t="shared" si="25"/>
        <v>5.120036690877261</v>
      </c>
      <c r="E26" s="25">
        <f t="shared" si="25"/>
        <v>7.2192717457092224</v>
      </c>
      <c r="F26" s="25">
        <f t="shared" si="25"/>
        <v>11.122778433972774</v>
      </c>
      <c r="G26" s="25">
        <f t="shared" si="25"/>
        <v>16.539820175831462</v>
      </c>
      <c r="H26" s="25">
        <f t="shared" si="25"/>
        <v>29.616488074296413</v>
      </c>
      <c r="I26" s="26">
        <f t="shared" si="25"/>
        <v>52.756804831367454</v>
      </c>
      <c r="J26" s="5"/>
      <c r="K26" s="27">
        <f>$B$26</f>
        <v>800000</v>
      </c>
      <c r="L26" s="24">
        <f t="shared" ref="L26:R26" si="26">IFERROR(24/IF($F$13&gt;$K26,"na",($F$10+$F$11/(($F$5*($K26^$F$6)*((L$18*$M$10)^$F$7))/$M$10))/$F$11*24),"na")</f>
        <v>66.895853736344804</v>
      </c>
      <c r="M26" s="25">
        <f t="shared" si="26"/>
        <v>78.585459413623184</v>
      </c>
      <c r="N26" s="25">
        <f t="shared" si="26"/>
        <v>30.111406513904122</v>
      </c>
      <c r="O26" s="25">
        <f t="shared" si="26"/>
        <v>36.697197836879148</v>
      </c>
      <c r="P26" s="25">
        <f t="shared" si="26"/>
        <v>42.669429659854792</v>
      </c>
      <c r="Q26" s="25">
        <f t="shared" si="26"/>
        <v>48.168909491920942</v>
      </c>
      <c r="R26" s="26">
        <f t="shared" si="26"/>
        <v>62.60872889104585</v>
      </c>
      <c r="S26" s="5"/>
      <c r="T26" s="27">
        <v>4000000</v>
      </c>
      <c r="U26" s="24">
        <f t="shared" ref="U26:AA26" si="27">IFERROR(24/IF($H$13&gt;$T26,"na",($H$10+$H$11/(($H$5*($T26^$H$6)*((U$18*$M$10)^$H$7))/$M$10))/$H$11*24),"na")</f>
        <v>171.01191357949546</v>
      </c>
      <c r="V26" s="25">
        <f t="shared" si="27"/>
        <v>186.02891420726809</v>
      </c>
      <c r="W26" s="25">
        <f t="shared" si="27"/>
        <v>194.49149466817792</v>
      </c>
      <c r="X26" s="25">
        <f t="shared" si="27"/>
        <v>204.72138387938969</v>
      </c>
      <c r="Y26" s="25">
        <f t="shared" si="27"/>
        <v>213.64479014561093</v>
      </c>
      <c r="Z26" s="25">
        <f t="shared" si="27"/>
        <v>225.85049126669591</v>
      </c>
      <c r="AA26" s="26">
        <f t="shared" si="27"/>
        <v>236.84101369941905</v>
      </c>
    </row>
    <row r="27" spans="1:27" ht="12" customHeight="1" x14ac:dyDescent="0.2">
      <c r="A27" s="5"/>
      <c r="B27" s="23">
        <v>900000</v>
      </c>
      <c r="C27" s="24">
        <f t="shared" ref="C27:I27" si="28">IFERROR(24/IF($D$13&gt;$B27,"na",($D$10+$D$11/(($D$5*($B27^$D$6)*((C$18*$M$10)^$D$7))/$M$10))/$D$11*24),"na")</f>
        <v>2.8774036247773869</v>
      </c>
      <c r="D27" s="25">
        <f t="shared" si="28"/>
        <v>5.1805414523642002</v>
      </c>
      <c r="E27" s="25">
        <f t="shared" si="28"/>
        <v>7.3044928613832409</v>
      </c>
      <c r="F27" s="25">
        <f t="shared" si="28"/>
        <v>11.253818930194976</v>
      </c>
      <c r="G27" s="25">
        <f t="shared" si="28"/>
        <v>16.734143353169991</v>
      </c>
      <c r="H27" s="25">
        <f t="shared" si="28"/>
        <v>29.962125704119391</v>
      </c>
      <c r="I27" s="26">
        <f t="shared" si="28"/>
        <v>53.365186129564563</v>
      </c>
      <c r="J27" s="5"/>
      <c r="K27" s="27">
        <f>$B$27</f>
        <v>900000</v>
      </c>
      <c r="L27" s="24">
        <f t="shared" ref="L27:R27" si="29">IFERROR(24/IF($F$13&gt;$K27,"na",($F$10+$F$11/(($F$5*($K27^$F$6)*((L$18*$M$10)^$F$7))/$M$10))/$F$11*24),"na")</f>
        <v>68.887509341910373</v>
      </c>
      <c r="M27" s="25">
        <f t="shared" si="29"/>
        <v>80.840680920262216</v>
      </c>
      <c r="N27" s="25">
        <f t="shared" si="29"/>
        <v>31.110180426289812</v>
      </c>
      <c r="O27" s="25">
        <f t="shared" si="29"/>
        <v>37.892039763530228</v>
      </c>
      <c r="P27" s="25">
        <f t="shared" si="29"/>
        <v>44.035155181291394</v>
      </c>
      <c r="Q27" s="25">
        <f t="shared" si="29"/>
        <v>49.686181902624817</v>
      </c>
      <c r="R27" s="26">
        <f t="shared" si="29"/>
        <v>64.497460189183272</v>
      </c>
      <c r="S27" s="5"/>
      <c r="T27" s="27">
        <v>5000000</v>
      </c>
      <c r="U27" s="24">
        <f t="shared" ref="U27:AA27" si="30">IFERROR(24/IF($H$13&gt;$T27,"na",($H$10+$H$11/(($H$5*($T27^$H$6)*((U$18*$M$10)^$H$7))/$M$10))/$H$11*24),"na")</f>
        <v>183.94182879210754</v>
      </c>
      <c r="V27" s="25">
        <f t="shared" si="30"/>
        <v>198.34829061476239</v>
      </c>
      <c r="W27" s="25">
        <f t="shared" si="30"/>
        <v>206.35659459376549</v>
      </c>
      <c r="X27" s="25">
        <f t="shared" si="30"/>
        <v>215.93332177236886</v>
      </c>
      <c r="Y27" s="25">
        <f t="shared" si="30"/>
        <v>224.1954829759818</v>
      </c>
      <c r="Z27" s="25">
        <f t="shared" si="30"/>
        <v>235.36110513683059</v>
      </c>
      <c r="AA27" s="26">
        <f t="shared" si="30"/>
        <v>245.28347378900904</v>
      </c>
    </row>
    <row r="28" spans="1:27" ht="12" customHeight="1" x14ac:dyDescent="0.2">
      <c r="A28" s="5"/>
      <c r="B28" s="23">
        <v>1000000</v>
      </c>
      <c r="C28" s="24">
        <f t="shared" ref="C28:I28" si="31">IFERROR(24/IF($D$13&gt;$B28,"na",($D$10+$D$11/(($D$5*($B28^$D$6)*((C$18*$M$10)^$D$7))/$M$10))/$D$11*24),"na")</f>
        <v>2.9078360573959294</v>
      </c>
      <c r="D28" s="25">
        <f t="shared" si="31"/>
        <v>5.235268826291966</v>
      </c>
      <c r="E28" s="25">
        <f t="shared" si="31"/>
        <v>7.3815746859233835</v>
      </c>
      <c r="F28" s="25">
        <f t="shared" si="31"/>
        <v>11.372338802359254</v>
      </c>
      <c r="G28" s="25">
        <f t="shared" si="31"/>
        <v>16.909888649004372</v>
      </c>
      <c r="H28" s="25">
        <f t="shared" si="31"/>
        <v>30.274673230419967</v>
      </c>
      <c r="I28" s="26">
        <f t="shared" si="31"/>
        <v>53.915179644594971</v>
      </c>
      <c r="J28" s="5"/>
      <c r="K28" s="27">
        <f>$B$28</f>
        <v>1000000</v>
      </c>
      <c r="L28" s="24">
        <f t="shared" ref="L28:R28" si="32">IFERROR(24/IF($F$13&gt;$K28,"na",($F$10+$F$11/(($F$5*($K28^$F$6)*((L$18*$M$10)^$F$7))/$M$10))/$F$11*24),"na")</f>
        <v>70.708642361472215</v>
      </c>
      <c r="M28" s="25">
        <f t="shared" si="32"/>
        <v>82.898697372031236</v>
      </c>
      <c r="N28" s="25">
        <f t="shared" si="32"/>
        <v>32.029225285631206</v>
      </c>
      <c r="O28" s="25">
        <f t="shared" si="32"/>
        <v>38.99025575155742</v>
      </c>
      <c r="P28" s="25">
        <f t="shared" si="32"/>
        <v>45.289147454421233</v>
      </c>
      <c r="Q28" s="25">
        <f t="shared" si="32"/>
        <v>51.078007508209396</v>
      </c>
      <c r="R28" s="26">
        <f t="shared" si="32"/>
        <v>66.22574891309398</v>
      </c>
      <c r="S28" s="5"/>
      <c r="T28" s="27">
        <v>6000000</v>
      </c>
      <c r="U28" s="24">
        <f t="shared" ref="U28:AA28" si="33">IFERROR(24/IF($H$13&gt;$T28,"na",($H$10+$H$11/(($H$5*($T28^$H$6)*((U$18*$M$10)^$H$7))/$M$10))/$H$11*24),"na")</f>
        <v>194.13473748210194</v>
      </c>
      <c r="V28" s="25">
        <f t="shared" si="33"/>
        <v>207.90939267383601</v>
      </c>
      <c r="W28" s="25">
        <f t="shared" si="33"/>
        <v>215.48540565322918</v>
      </c>
      <c r="X28" s="25">
        <f t="shared" si="33"/>
        <v>224.47025419673011</v>
      </c>
      <c r="Y28" s="25">
        <f t="shared" si="33"/>
        <v>232.15700376056128</v>
      </c>
      <c r="Z28" s="25">
        <f t="shared" si="33"/>
        <v>242.45095401337983</v>
      </c>
      <c r="AA28" s="26">
        <f t="shared" si="33"/>
        <v>251.50922254331027</v>
      </c>
    </row>
    <row r="29" spans="1:27" ht="12" customHeight="1" x14ac:dyDescent="0.2">
      <c r="A29" s="5"/>
      <c r="B29" s="23">
        <v>2000000</v>
      </c>
      <c r="C29" s="24">
        <f t="shared" ref="C29:I29" si="34">IFERROR(24/IF($D$13&gt;$B29,"na",($D$10+$D$11/(($D$5*($B29^$D$6)*((C$18*$M$10)^$D$7))/$M$10))/$D$11*24),"na")</f>
        <v>3.1162163340377647</v>
      </c>
      <c r="D29" s="25">
        <f t="shared" si="34"/>
        <v>5.6099682150293351</v>
      </c>
      <c r="E29" s="25">
        <f t="shared" si="34"/>
        <v>7.9092806870049106</v>
      </c>
      <c r="F29" s="25">
        <f t="shared" si="34"/>
        <v>12.183598612998779</v>
      </c>
      <c r="G29" s="25">
        <f t="shared" si="34"/>
        <v>18.112578459928077</v>
      </c>
      <c r="H29" s="25">
        <f t="shared" si="34"/>
        <v>32.412376634991361</v>
      </c>
      <c r="I29" s="26">
        <f t="shared" si="34"/>
        <v>57.673270245944011</v>
      </c>
      <c r="J29" s="5"/>
      <c r="K29" s="27">
        <f>$B$29</f>
        <v>2000000</v>
      </c>
      <c r="L29" s="24">
        <f t="shared" ref="L29:R29" si="35">IFERROR(24/IF($F$13&gt;$K29,"na",($F$10+$F$11/(($F$5*($K29^$F$6)*((L$18*$M$10)^$F$7))/$M$10))/$F$11*24),"na")</f>
        <v>83.635233678245896</v>
      </c>
      <c r="M29" s="25">
        <f t="shared" si="35"/>
        <v>97.394680485990804</v>
      </c>
      <c r="N29" s="25">
        <f t="shared" si="35"/>
        <v>38.716028437510843</v>
      </c>
      <c r="O29" s="25">
        <f t="shared" si="35"/>
        <v>46.944921880210032</v>
      </c>
      <c r="P29" s="25">
        <f t="shared" si="35"/>
        <v>54.33547617103541</v>
      </c>
      <c r="Q29" s="25">
        <f t="shared" si="35"/>
        <v>61.081521984187617</v>
      </c>
      <c r="R29" s="26">
        <f t="shared" si="35"/>
        <v>78.528241553416109</v>
      </c>
      <c r="S29" s="5"/>
      <c r="T29" s="27">
        <v>3000000</v>
      </c>
      <c r="U29" s="24">
        <f t="shared" ref="U29:AA29" si="36">IFERROR(24/IF($H$13&gt;$T29,"na",($H$10+$H$11/(($H$5*($T29^$H$6)*((U$18*$M$10)^$H$7))/$M$10))/$H$11*24),"na")</f>
        <v>153.88919208940806</v>
      </c>
      <c r="V29" s="25">
        <f t="shared" si="36"/>
        <v>169.37699892955828</v>
      </c>
      <c r="W29" s="25">
        <f t="shared" si="36"/>
        <v>178.26692053177013</v>
      </c>
      <c r="X29" s="25">
        <f t="shared" si="36"/>
        <v>189.17351573396346</v>
      </c>
      <c r="Y29" s="25">
        <f t="shared" si="36"/>
        <v>198.83349096136905</v>
      </c>
      <c r="Z29" s="25">
        <f t="shared" si="36"/>
        <v>212.27304181906013</v>
      </c>
      <c r="AA29" s="26">
        <f t="shared" si="36"/>
        <v>224.60420670293607</v>
      </c>
    </row>
    <row r="30" spans="1:27" ht="12" customHeight="1" x14ac:dyDescent="0.2">
      <c r="A30" s="5"/>
      <c r="B30" s="23">
        <v>3000000</v>
      </c>
      <c r="C30" s="24">
        <f t="shared" ref="C30:I30" si="37">IFERROR(24/IF($D$13&gt;$B30,"na",($D$10+$D$11/(($D$5*($B30^$D$6)*((C$18*$M$10)^$D$7))/$M$10))/$D$11*24),"na")</f>
        <v>3.2449553525339496</v>
      </c>
      <c r="D30" s="25">
        <f t="shared" si="37"/>
        <v>5.8414292516585036</v>
      </c>
      <c r="E30" s="25">
        <f t="shared" si="37"/>
        <v>8.2352170695644471</v>
      </c>
      <c r="F30" s="25">
        <f t="shared" si="37"/>
        <v>12.684555318645279</v>
      </c>
      <c r="G30" s="25">
        <f t="shared" si="37"/>
        <v>18.855006463857585</v>
      </c>
      <c r="H30" s="25">
        <f t="shared" si="37"/>
        <v>33.730972225085644</v>
      </c>
      <c r="I30" s="26">
        <f t="shared" si="37"/>
        <v>59.988194336325449</v>
      </c>
      <c r="J30" s="5"/>
      <c r="K30" s="27">
        <f>$B$30</f>
        <v>3000000</v>
      </c>
      <c r="L30" s="24">
        <f t="shared" ref="L30:R30" si="38">IFERROR(24/IF($F$13&gt;$K30,"na",($F$10+$F$11/(($F$5*($K30^$F$6)*((L$18*$M$10)^$F$7))/$M$10))/$F$11*24),"na")</f>
        <v>91.965983747321971</v>
      </c>
      <c r="M30" s="25">
        <f t="shared" si="38"/>
        <v>106.63402439398786</v>
      </c>
      <c r="N30" s="25">
        <f t="shared" si="38"/>
        <v>43.183196085360322</v>
      </c>
      <c r="O30" s="25">
        <f t="shared" si="38"/>
        <v>52.224314828184056</v>
      </c>
      <c r="P30" s="25">
        <f t="shared" si="38"/>
        <v>60.304042281285057</v>
      </c>
      <c r="Q30" s="25">
        <f t="shared" si="38"/>
        <v>67.646099520585338</v>
      </c>
      <c r="R30" s="26">
        <f t="shared" si="38"/>
        <v>86.489364006466758</v>
      </c>
      <c r="S30" s="5"/>
      <c r="T30" s="27">
        <v>4000000</v>
      </c>
      <c r="U30" s="24">
        <f t="shared" ref="U30:AA30" si="39">IFERROR(24/IF($H$13&gt;$T30,"na",($H$10+$H$11/(($H$5*($T30^$H$6)*((U$18*$M$10)^$H$7))/$M$10))/$H$11*24),"na")</f>
        <v>171.01191357949546</v>
      </c>
      <c r="V30" s="25">
        <f t="shared" si="39"/>
        <v>186.02891420726809</v>
      </c>
      <c r="W30" s="25">
        <f t="shared" si="39"/>
        <v>194.49149466817792</v>
      </c>
      <c r="X30" s="25">
        <f t="shared" si="39"/>
        <v>204.72138387938969</v>
      </c>
      <c r="Y30" s="25">
        <f t="shared" si="39"/>
        <v>213.64479014561093</v>
      </c>
      <c r="Z30" s="25">
        <f t="shared" si="39"/>
        <v>225.85049126669591</v>
      </c>
      <c r="AA30" s="26">
        <f t="shared" si="39"/>
        <v>236.84101369941905</v>
      </c>
    </row>
    <row r="31" spans="1:27" ht="12" customHeight="1" x14ac:dyDescent="0.2">
      <c r="A31" s="5"/>
      <c r="B31" s="23">
        <v>4000000</v>
      </c>
      <c r="C31" s="24">
        <f t="shared" ref="C31:I31" si="40">IFERROR(24/IF($D$13&gt;$B31,"na",($D$10+$D$11/(($D$5*($B31^$D$6)*((C$18*$M$10)^$D$7))/$M$10))/$D$11*24),"na")</f>
        <v>3.3395045108221377</v>
      </c>
      <c r="D31" s="25">
        <f t="shared" si="40"/>
        <v>6.011404821952226</v>
      </c>
      <c r="E31" s="25">
        <f t="shared" si="40"/>
        <v>8.4745517463104001</v>
      </c>
      <c r="F31" s="25">
        <f t="shared" si="40"/>
        <v>13.05235079841019</v>
      </c>
      <c r="G31" s="25">
        <f t="shared" si="40"/>
        <v>19.399970926381453</v>
      </c>
      <c r="H31" s="25">
        <f t="shared" si="40"/>
        <v>34.698364890555197</v>
      </c>
      <c r="I31" s="26">
        <f t="shared" si="40"/>
        <v>61.685010762791819</v>
      </c>
      <c r="J31" s="5"/>
      <c r="K31" s="27">
        <f>$B$31</f>
        <v>4000000</v>
      </c>
      <c r="L31" s="24">
        <f t="shared" ref="L31:R31" si="41">IFERROR(24/IF($F$13&gt;$K31,"na",($F$10+$F$11/(($F$5*($K31^$F$6)*((L$18*$M$10)^$F$7))/$M$10))/$F$11*24),"na")</f>
        <v>98.220117359702215</v>
      </c>
      <c r="M31" s="25">
        <f t="shared" si="41"/>
        <v>113.51805365398744</v>
      </c>
      <c r="N31" s="25">
        <f t="shared" si="41"/>
        <v>46.62197276857929</v>
      </c>
      <c r="O31" s="25">
        <f t="shared" si="41"/>
        <v>56.269518993367456</v>
      </c>
      <c r="P31" s="25">
        <f t="shared" si="41"/>
        <v>64.858371790572193</v>
      </c>
      <c r="Q31" s="25">
        <f t="shared" si="41"/>
        <v>72.636355869132018</v>
      </c>
      <c r="R31" s="26">
        <f t="shared" si="41"/>
        <v>92.482879767122384</v>
      </c>
      <c r="S31" s="5"/>
      <c r="T31" s="27">
        <v>3000000</v>
      </c>
      <c r="U31" s="24">
        <f t="shared" ref="U31:AA31" si="42">IFERROR(24/IF($H$13&gt;$T31,"na",($H$10+$H$11/(($H$5*($T31^$H$6)*((U$18*$M$10)^$H$7))/$M$10))/$H$11*24),"na")</f>
        <v>153.88919208940806</v>
      </c>
      <c r="V31" s="25">
        <f t="shared" si="42"/>
        <v>169.37699892955828</v>
      </c>
      <c r="W31" s="25">
        <f t="shared" si="42"/>
        <v>178.26692053177013</v>
      </c>
      <c r="X31" s="25">
        <f t="shared" si="42"/>
        <v>189.17351573396346</v>
      </c>
      <c r="Y31" s="25">
        <f t="shared" si="42"/>
        <v>198.83349096136905</v>
      </c>
      <c r="Z31" s="25">
        <f t="shared" si="42"/>
        <v>212.27304181906013</v>
      </c>
      <c r="AA31" s="26">
        <f t="shared" si="42"/>
        <v>224.60420670293607</v>
      </c>
    </row>
    <row r="32" spans="1:27" ht="12" customHeight="1" x14ac:dyDescent="0.2">
      <c r="A32" s="5"/>
      <c r="B32" s="28">
        <v>5000000</v>
      </c>
      <c r="C32" s="29">
        <f t="shared" ref="C32:I32" si="43">IFERROR(24/IF($D$13&gt;$B32,"na",($D$10+$D$11/(($D$5*($B32^$D$6)*((C$18*$M$10)^$D$7))/$M$10))/$D$11*24),"na")</f>
        <v>3.4147323785910286</v>
      </c>
      <c r="D32" s="30">
        <f t="shared" si="43"/>
        <v>6.1466363783827882</v>
      </c>
      <c r="E32" s="30">
        <f t="shared" si="43"/>
        <v>8.6649530549588611</v>
      </c>
      <c r="F32" s="30">
        <f t="shared" si="43"/>
        <v>13.344914247080167</v>
      </c>
      <c r="G32" s="30">
        <f t="shared" si="43"/>
        <v>19.833393640330133</v>
      </c>
      <c r="H32" s="30">
        <f t="shared" si="43"/>
        <v>35.467454764862957</v>
      </c>
      <c r="I32" s="31">
        <f t="shared" si="43"/>
        <v>63.033075366561455</v>
      </c>
      <c r="J32" s="5"/>
      <c r="K32" s="32">
        <f>$B$32</f>
        <v>5000000</v>
      </c>
      <c r="L32" s="29">
        <f t="shared" ref="L32:R32" si="44">IFERROR(24/IF($F$13&gt;$K32,"na",($F$10+$F$11/(($F$5*($K32^$F$6)*((L$18*$M$10)^$F$7))/$M$10))/$F$11*24),"na")</f>
        <v>103.26478700141183</v>
      </c>
      <c r="M32" s="30">
        <f t="shared" si="44"/>
        <v>119.03850937293385</v>
      </c>
      <c r="N32" s="30">
        <f t="shared" si="44"/>
        <v>49.450776730401493</v>
      </c>
      <c r="O32" s="30">
        <f t="shared" si="44"/>
        <v>59.584988984030112</v>
      </c>
      <c r="P32" s="30">
        <f t="shared" si="44"/>
        <v>68.57894058511954</v>
      </c>
      <c r="Q32" s="30">
        <f t="shared" si="44"/>
        <v>76.700991468364109</v>
      </c>
      <c r="R32" s="31">
        <f t="shared" si="44"/>
        <v>97.327914664611527</v>
      </c>
      <c r="S32" s="5"/>
      <c r="T32" s="27">
        <v>4000000</v>
      </c>
      <c r="U32" s="29">
        <f t="shared" ref="U32:AA32" si="45">IFERROR(24/IF($H$13&gt;$T32,"na",($H$10+$H$11/(($H$5*($T32^$H$6)*((U$18*$M$10)^$H$7))/$M$10))/$H$11*24),"na")</f>
        <v>171.01191357949546</v>
      </c>
      <c r="V32" s="30">
        <f t="shared" si="45"/>
        <v>186.02891420726809</v>
      </c>
      <c r="W32" s="30">
        <f t="shared" si="45"/>
        <v>194.49149466817792</v>
      </c>
      <c r="X32" s="30">
        <f t="shared" si="45"/>
        <v>204.72138387938969</v>
      </c>
      <c r="Y32" s="30">
        <f t="shared" si="45"/>
        <v>213.64479014561093</v>
      </c>
      <c r="Z32" s="30">
        <f t="shared" si="45"/>
        <v>225.85049126669591</v>
      </c>
      <c r="AA32" s="31">
        <f t="shared" si="45"/>
        <v>236.84101369941905</v>
      </c>
    </row>
    <row r="33" spans="1:27" ht="12" customHeight="1" x14ac:dyDescent="0.2">
      <c r="A33" s="5"/>
      <c r="B33" s="6"/>
      <c r="C33" s="6">
        <f>C18/C19</f>
        <v>216.40644978399285</v>
      </c>
      <c r="D33" s="6">
        <f>D18/D19</f>
        <v>240.34059787088489</v>
      </c>
      <c r="E33" s="6">
        <f>E18/E19</f>
        <v>255.63036886163735</v>
      </c>
      <c r="F33" s="6">
        <f>F18/F19</f>
        <v>276.42799337361669</v>
      </c>
      <c r="G33" s="6">
        <f>G18/G19</f>
        <v>297.27841216204422</v>
      </c>
      <c r="H33" s="6"/>
      <c r="I33" s="6"/>
      <c r="J33" s="5"/>
      <c r="K33" s="6"/>
      <c r="L33" s="6">
        <f>L18/L23</f>
        <v>84.168257546041843</v>
      </c>
      <c r="M33" s="6">
        <f>M18/M23</f>
        <v>92.776646745069016</v>
      </c>
      <c r="N33" s="6">
        <f>N18/N23</f>
        <v>56.790445037750032</v>
      </c>
      <c r="O33" s="6">
        <f>O18/O23</f>
        <v>61.995667408105419</v>
      </c>
      <c r="P33" s="6">
        <f>P18/P23</f>
        <v>66.515580857946546</v>
      </c>
      <c r="Q33" s="6">
        <f>Q18/Q23</f>
        <v>70.57607462180313</v>
      </c>
      <c r="R33" s="6"/>
      <c r="S33" s="5"/>
      <c r="T33" s="6"/>
      <c r="U33" s="6"/>
      <c r="V33" s="6"/>
      <c r="W33" s="6"/>
      <c r="X33" s="6"/>
      <c r="Y33" s="6"/>
      <c r="Z33" s="6"/>
      <c r="AA33" s="6"/>
    </row>
    <row r="34" spans="1:27" ht="12" customHeight="1" x14ac:dyDescent="0.2">
      <c r="A34" s="5"/>
      <c r="B34" s="6"/>
      <c r="C34" s="91"/>
      <c r="D34" s="91"/>
      <c r="E34" s="91"/>
      <c r="F34" s="91"/>
      <c r="G34" s="91"/>
      <c r="H34" s="6"/>
      <c r="I34" s="6"/>
      <c r="J34" s="5"/>
      <c r="K34" s="6"/>
      <c r="L34" s="91"/>
      <c r="M34" s="91"/>
      <c r="N34" s="91"/>
      <c r="O34" s="91"/>
      <c r="P34" s="91"/>
      <c r="Q34" s="91"/>
      <c r="R34" s="6"/>
      <c r="S34" s="5"/>
      <c r="T34" s="6"/>
      <c r="U34" s="6"/>
      <c r="V34" s="6"/>
      <c r="W34" s="6"/>
      <c r="X34" s="6"/>
      <c r="Y34" s="6"/>
      <c r="Z34" s="6"/>
      <c r="AA34" s="6"/>
    </row>
    <row r="35" spans="1:27" ht="12" customHeight="1" x14ac:dyDescent="0.2">
      <c r="A35" s="5"/>
      <c r="B35" s="6"/>
      <c r="C35" s="64" t="s">
        <v>37</v>
      </c>
      <c r="D35" s="65"/>
      <c r="E35" s="65"/>
      <c r="F35" s="65"/>
      <c r="G35" s="65"/>
      <c r="H35" s="65"/>
      <c r="I35" s="66"/>
      <c r="J35" s="5"/>
      <c r="K35" s="6"/>
      <c r="L35" s="64" t="s">
        <v>37</v>
      </c>
      <c r="M35" s="65"/>
      <c r="N35" s="65"/>
      <c r="O35" s="65"/>
      <c r="P35" s="65"/>
      <c r="Q35" s="65"/>
      <c r="R35" s="66"/>
      <c r="S35" s="5"/>
      <c r="T35" s="6"/>
      <c r="U35" s="64" t="s">
        <v>37</v>
      </c>
      <c r="V35" s="65"/>
      <c r="W35" s="65"/>
      <c r="X35" s="65"/>
      <c r="Y35" s="65"/>
      <c r="Z35" s="65"/>
      <c r="AA35" s="66"/>
    </row>
    <row r="36" spans="1:27" ht="12" customHeight="1" x14ac:dyDescent="0.2">
      <c r="A36" s="5"/>
      <c r="B36" s="11" t="s">
        <v>38</v>
      </c>
      <c r="C36" s="15">
        <f>$C$18</f>
        <v>500</v>
      </c>
      <c r="D36" s="16">
        <f>$D$18</f>
        <v>1000</v>
      </c>
      <c r="E36" s="16">
        <f>$E$18</f>
        <v>1500</v>
      </c>
      <c r="F36" s="16">
        <f>$F$18</f>
        <v>2500</v>
      </c>
      <c r="G36" s="16">
        <f>$G$18</f>
        <v>4000</v>
      </c>
      <c r="H36" s="16">
        <f>$H$18</f>
        <v>8000</v>
      </c>
      <c r="I36" s="17">
        <f>$I$18</f>
        <v>16000</v>
      </c>
      <c r="J36" s="5"/>
      <c r="K36" s="11" t="s">
        <v>39</v>
      </c>
      <c r="L36" s="15">
        <f>L18</f>
        <v>5000</v>
      </c>
      <c r="M36" s="15">
        <f t="shared" ref="M36:R36" si="46">M18</f>
        <v>6500</v>
      </c>
      <c r="N36" s="15">
        <f t="shared" si="46"/>
        <v>1500</v>
      </c>
      <c r="O36" s="15">
        <f t="shared" si="46"/>
        <v>2000</v>
      </c>
      <c r="P36" s="15">
        <f t="shared" si="46"/>
        <v>2500</v>
      </c>
      <c r="Q36" s="15">
        <f t="shared" si="46"/>
        <v>3000</v>
      </c>
      <c r="R36" s="15">
        <f t="shared" si="46"/>
        <v>4500</v>
      </c>
      <c r="S36" s="5"/>
      <c r="T36" s="11" t="s">
        <v>40</v>
      </c>
      <c r="U36" s="15">
        <f>$C$18</f>
        <v>500</v>
      </c>
      <c r="V36" s="16">
        <f>$D$18</f>
        <v>1000</v>
      </c>
      <c r="W36" s="16">
        <f>$E$18</f>
        <v>1500</v>
      </c>
      <c r="X36" s="16">
        <f>$F$18</f>
        <v>2500</v>
      </c>
      <c r="Y36" s="16">
        <f>$G$18</f>
        <v>4000</v>
      </c>
      <c r="Z36" s="16">
        <f>$H$18</f>
        <v>8000</v>
      </c>
      <c r="AA36" s="17">
        <f>$I$18</f>
        <v>16000</v>
      </c>
    </row>
    <row r="37" spans="1:27" ht="12" customHeight="1" x14ac:dyDescent="0.2">
      <c r="A37" s="5"/>
      <c r="B37" s="22">
        <f>$B$19</f>
        <v>100000</v>
      </c>
      <c r="C37" s="33">
        <f t="shared" ref="C37:I37" si="47">IFERROR((C$36+($B37/$M$7/$M$10))/C19,"na")</f>
        <v>224.33342596655669</v>
      </c>
      <c r="D37" s="34">
        <f t="shared" si="47"/>
        <v>244.74244032273259</v>
      </c>
      <c r="E37" s="34">
        <f t="shared" si="47"/>
        <v>258.75161878668786</v>
      </c>
      <c r="F37" s="34">
        <f t="shared" si="47"/>
        <v>278.45310687818534</v>
      </c>
      <c r="G37" s="34">
        <f t="shared" si="47"/>
        <v>298.63957705289607</v>
      </c>
      <c r="H37" s="34">
        <f t="shared" si="47"/>
        <v>332.39114246319753</v>
      </c>
      <c r="I37" s="35">
        <f t="shared" si="47"/>
        <v>371.95565410750964</v>
      </c>
      <c r="J37" s="5"/>
      <c r="K37" s="22">
        <f>$B$19</f>
        <v>100000</v>
      </c>
      <c r="L37" s="33" t="str">
        <f t="shared" ref="L37:R37" si="48">IFERROR((L$36+($K37/$M$7/$M$10))/L19,"na")</f>
        <v>na</v>
      </c>
      <c r="M37" s="34" t="str">
        <f t="shared" si="48"/>
        <v>na</v>
      </c>
      <c r="N37" s="34" t="str">
        <f t="shared" si="48"/>
        <v>na</v>
      </c>
      <c r="O37" s="34" t="str">
        <f t="shared" si="48"/>
        <v>na</v>
      </c>
      <c r="P37" s="34" t="str">
        <f t="shared" si="48"/>
        <v>na</v>
      </c>
      <c r="Q37" s="34" t="str">
        <f t="shared" si="48"/>
        <v>na</v>
      </c>
      <c r="R37" s="35" t="str">
        <f t="shared" si="48"/>
        <v>na</v>
      </c>
      <c r="S37" s="5"/>
      <c r="T37" s="22">
        <f>$B$19</f>
        <v>100000</v>
      </c>
      <c r="U37" s="33" t="str">
        <f t="shared" ref="U37:AA37" si="49">IFERROR((U$36+($T37/$M$7/$M$10))/U19,"na")</f>
        <v>na</v>
      </c>
      <c r="V37" s="34" t="str">
        <f t="shared" si="49"/>
        <v>na</v>
      </c>
      <c r="W37" s="34" t="str">
        <f t="shared" si="49"/>
        <v>na</v>
      </c>
      <c r="X37" s="34" t="str">
        <f t="shared" si="49"/>
        <v>na</v>
      </c>
      <c r="Y37" s="34" t="str">
        <f t="shared" si="49"/>
        <v>na</v>
      </c>
      <c r="Z37" s="34" t="str">
        <f t="shared" si="49"/>
        <v>na</v>
      </c>
      <c r="AA37" s="35" t="str">
        <f t="shared" si="49"/>
        <v>na</v>
      </c>
    </row>
    <row r="38" spans="1:27" ht="12" customHeight="1" x14ac:dyDescent="0.2">
      <c r="A38" s="5"/>
      <c r="B38" s="27">
        <f>$B$20</f>
        <v>200000</v>
      </c>
      <c r="C38" s="36">
        <f t="shared" ref="C38:I38" si="50">IFERROR((C$36+($B38/$M$7/$M$10))/C20,"na")</f>
        <v>216.72458608683817</v>
      </c>
      <c r="D38" s="37">
        <f t="shared" si="50"/>
        <v>232.49454548767704</v>
      </c>
      <c r="E38" s="37">
        <f t="shared" si="50"/>
        <v>244.38747785477275</v>
      </c>
      <c r="F38" s="37">
        <f t="shared" si="50"/>
        <v>261.78036828720639</v>
      </c>
      <c r="G38" s="37">
        <f t="shared" si="50"/>
        <v>280.04575023794979</v>
      </c>
      <c r="H38" s="37">
        <f t="shared" si="50"/>
        <v>311.10938371629919</v>
      </c>
      <c r="I38" s="38">
        <f t="shared" si="50"/>
        <v>347.98066566263998</v>
      </c>
      <c r="J38" s="5"/>
      <c r="K38" s="27">
        <f>$B$20</f>
        <v>200000</v>
      </c>
      <c r="L38" s="36" t="str">
        <f t="shared" ref="L38:R38" si="51">IFERROR((L$36+($K38/$M$7/$M$10))/L20,"na")</f>
        <v>na</v>
      </c>
      <c r="M38" s="37" t="str">
        <f t="shared" si="51"/>
        <v>na</v>
      </c>
      <c r="N38" s="37" t="str">
        <f t="shared" si="51"/>
        <v>na</v>
      </c>
      <c r="O38" s="37" t="str">
        <f t="shared" si="51"/>
        <v>na</v>
      </c>
      <c r="P38" s="37" t="str">
        <f t="shared" si="51"/>
        <v>na</v>
      </c>
      <c r="Q38" s="37" t="str">
        <f t="shared" si="51"/>
        <v>na</v>
      </c>
      <c r="R38" s="38" t="str">
        <f t="shared" si="51"/>
        <v>na</v>
      </c>
      <c r="S38" s="5"/>
      <c r="T38" s="27">
        <f>$B$20</f>
        <v>200000</v>
      </c>
      <c r="U38" s="36" t="str">
        <f t="shared" ref="U38:AA38" si="52">IFERROR((U$36+($T38/$M$7/$M$10))/U20,"na")</f>
        <v>na</v>
      </c>
      <c r="V38" s="37" t="str">
        <f t="shared" si="52"/>
        <v>na</v>
      </c>
      <c r="W38" s="37" t="str">
        <f t="shared" si="52"/>
        <v>na</v>
      </c>
      <c r="X38" s="37" t="str">
        <f t="shared" si="52"/>
        <v>na</v>
      </c>
      <c r="Y38" s="37" t="str">
        <f t="shared" si="52"/>
        <v>na</v>
      </c>
      <c r="Z38" s="37" t="str">
        <f t="shared" si="52"/>
        <v>na</v>
      </c>
      <c r="AA38" s="38" t="str">
        <f t="shared" si="52"/>
        <v>na</v>
      </c>
    </row>
    <row r="39" spans="1:27" ht="12" customHeight="1" x14ac:dyDescent="0.2">
      <c r="A39" s="5"/>
      <c r="B39" s="27">
        <f>$B$21</f>
        <v>300000</v>
      </c>
      <c r="C39" s="36">
        <f t="shared" ref="C39:I39" si="53">IFERROR((C$36+($B39/$M$7/$M$10))/C21,"na")</f>
        <v>215.22678223235644</v>
      </c>
      <c r="D39" s="37">
        <f t="shared" si="53"/>
        <v>227.22167491061339</v>
      </c>
      <c r="E39" s="37">
        <f t="shared" si="53"/>
        <v>237.50461183986735</v>
      </c>
      <c r="F39" s="37">
        <f t="shared" si="53"/>
        <v>253.24416213883558</v>
      </c>
      <c r="G39" s="37">
        <f t="shared" si="53"/>
        <v>270.21869126659209</v>
      </c>
      <c r="H39" s="37">
        <f t="shared" si="53"/>
        <v>299.58815861063562</v>
      </c>
      <c r="I39" s="38">
        <f t="shared" si="53"/>
        <v>334.85408383001527</v>
      </c>
      <c r="J39" s="5"/>
      <c r="K39" s="27">
        <f>$B$21</f>
        <v>300000</v>
      </c>
      <c r="L39" s="36" t="str">
        <f t="shared" ref="L39:R39" si="54">IFERROR((L$36+($K39/$M$7/$M$10))/L21,"na")</f>
        <v>na</v>
      </c>
      <c r="M39" s="37" t="str">
        <f t="shared" si="54"/>
        <v>na</v>
      </c>
      <c r="N39" s="37" t="str">
        <f t="shared" si="54"/>
        <v>na</v>
      </c>
      <c r="O39" s="37" t="str">
        <f t="shared" si="54"/>
        <v>na</v>
      </c>
      <c r="P39" s="37" t="str">
        <f t="shared" si="54"/>
        <v>na</v>
      </c>
      <c r="Q39" s="37" t="str">
        <f t="shared" si="54"/>
        <v>na</v>
      </c>
      <c r="R39" s="38" t="str">
        <f t="shared" si="54"/>
        <v>na</v>
      </c>
      <c r="S39" s="5"/>
      <c r="T39" s="27">
        <f>$B$21</f>
        <v>300000</v>
      </c>
      <c r="U39" s="36" t="str">
        <f t="shared" ref="U39:AA39" si="55">IFERROR((U$36+($T39/$M$7/$M$10))/U21,"na")</f>
        <v>na</v>
      </c>
      <c r="V39" s="37" t="str">
        <f t="shared" si="55"/>
        <v>na</v>
      </c>
      <c r="W39" s="37" t="str">
        <f t="shared" si="55"/>
        <v>na</v>
      </c>
      <c r="X39" s="37" t="str">
        <f t="shared" si="55"/>
        <v>na</v>
      </c>
      <c r="Y39" s="37" t="str">
        <f t="shared" si="55"/>
        <v>na</v>
      </c>
      <c r="Z39" s="37" t="str">
        <f t="shared" si="55"/>
        <v>na</v>
      </c>
      <c r="AA39" s="38" t="str">
        <f t="shared" si="55"/>
        <v>na</v>
      </c>
    </row>
    <row r="40" spans="1:27" ht="12" customHeight="1" x14ac:dyDescent="0.2">
      <c r="A40" s="5"/>
      <c r="B40" s="27">
        <f>$B$22</f>
        <v>400000</v>
      </c>
      <c r="C40" s="36">
        <f t="shared" ref="C40:I40" si="56">IFERROR((C$36+($B40/$M$7/$M$10))/C22,"na")</f>
        <v>216.03319518101716</v>
      </c>
      <c r="D40" s="37">
        <f t="shared" si="56"/>
        <v>224.62621501937349</v>
      </c>
      <c r="E40" s="37">
        <f t="shared" si="56"/>
        <v>233.50981394499334</v>
      </c>
      <c r="F40" s="37">
        <f t="shared" si="56"/>
        <v>247.86295368427056</v>
      </c>
      <c r="G40" s="37">
        <f t="shared" si="56"/>
        <v>263.79938122434083</v>
      </c>
      <c r="H40" s="37">
        <f t="shared" si="56"/>
        <v>291.86868158509856</v>
      </c>
      <c r="I40" s="38">
        <f t="shared" si="56"/>
        <v>325.95724188461628</v>
      </c>
      <c r="J40" s="5"/>
      <c r="K40" s="27">
        <f>$B$22</f>
        <v>400000</v>
      </c>
      <c r="L40" s="36" t="str">
        <f t="shared" ref="L40:R40" si="57">IFERROR((L$36+($K40/$M$7/$M$10))/L22,"na")</f>
        <v>na</v>
      </c>
      <c r="M40" s="37" t="str">
        <f t="shared" si="57"/>
        <v>na</v>
      </c>
      <c r="N40" s="37" t="str">
        <f t="shared" si="57"/>
        <v>na</v>
      </c>
      <c r="O40" s="37" t="str">
        <f t="shared" si="57"/>
        <v>na</v>
      </c>
      <c r="P40" s="37" t="str">
        <f t="shared" si="57"/>
        <v>na</v>
      </c>
      <c r="Q40" s="37" t="str">
        <f t="shared" si="57"/>
        <v>na</v>
      </c>
      <c r="R40" s="38" t="str">
        <f t="shared" si="57"/>
        <v>na</v>
      </c>
      <c r="S40" s="5"/>
      <c r="T40" s="27">
        <f>$B$22</f>
        <v>400000</v>
      </c>
      <c r="U40" s="36" t="str">
        <f t="shared" ref="U40:AA40" si="58">IFERROR((U$36+($T40/$M$7/$M$10))/U22,"na")</f>
        <v>na</v>
      </c>
      <c r="V40" s="37" t="str">
        <f t="shared" si="58"/>
        <v>na</v>
      </c>
      <c r="W40" s="37" t="str">
        <f t="shared" si="58"/>
        <v>na</v>
      </c>
      <c r="X40" s="37" t="str">
        <f t="shared" si="58"/>
        <v>na</v>
      </c>
      <c r="Y40" s="37" t="str">
        <f t="shared" si="58"/>
        <v>na</v>
      </c>
      <c r="Z40" s="37" t="str">
        <f t="shared" si="58"/>
        <v>na</v>
      </c>
      <c r="AA40" s="38" t="str">
        <f t="shared" si="58"/>
        <v>na</v>
      </c>
    </row>
    <row r="41" spans="1:27" ht="12" customHeight="1" x14ac:dyDescent="0.2">
      <c r="A41" s="5"/>
      <c r="B41" s="27">
        <f>$B$23</f>
        <v>500000</v>
      </c>
      <c r="C41" s="36">
        <f t="shared" ref="C41:I41" si="59">IFERROR((C$36+($B41/$M$7/$M$10))/C23,"na")</f>
        <v>218.02217843701669</v>
      </c>
      <c r="D41" s="37">
        <f t="shared" si="59"/>
        <v>223.43000384836574</v>
      </c>
      <c r="E41" s="37">
        <f t="shared" si="59"/>
        <v>231.03286360564226</v>
      </c>
      <c r="F41" s="37">
        <f t="shared" si="59"/>
        <v>244.14711820860032</v>
      </c>
      <c r="G41" s="37">
        <f t="shared" si="59"/>
        <v>259.18317737577854</v>
      </c>
      <c r="H41" s="37">
        <f t="shared" si="59"/>
        <v>286.16474973136923</v>
      </c>
      <c r="I41" s="38">
        <f t="shared" si="59"/>
        <v>319.30503896902081</v>
      </c>
      <c r="J41" s="5"/>
      <c r="K41" s="27">
        <f>$B$23</f>
        <v>500000</v>
      </c>
      <c r="L41" s="36">
        <f t="shared" ref="L41:R41" si="60">IFERROR((L$36+($K41/$M$7/$M$10))/L23,"na")</f>
        <v>85.70980072454077</v>
      </c>
      <c r="M41" s="37">
        <f t="shared" si="60"/>
        <v>94.083728271485882</v>
      </c>
      <c r="N41" s="37">
        <f t="shared" si="60"/>
        <v>60.257505174364809</v>
      </c>
      <c r="O41" s="37">
        <f t="shared" si="60"/>
        <v>64.8342968681835</v>
      </c>
      <c r="P41" s="37">
        <f t="shared" si="60"/>
        <v>68.952049021241294</v>
      </c>
      <c r="Q41" s="37">
        <f t="shared" si="60"/>
        <v>72.730411453970504</v>
      </c>
      <c r="R41" s="38">
        <f t="shared" si="60"/>
        <v>82.704625329056483</v>
      </c>
      <c r="S41" s="5"/>
      <c r="T41" s="27">
        <f>$B$23</f>
        <v>500000</v>
      </c>
      <c r="U41" s="36" t="str">
        <f t="shared" ref="U41:AA41" si="61">IFERROR((U$36+($T41/$M$7/$M$10))/U23,"na")</f>
        <v>na</v>
      </c>
      <c r="V41" s="37" t="str">
        <f t="shared" si="61"/>
        <v>na</v>
      </c>
      <c r="W41" s="37" t="str">
        <f t="shared" si="61"/>
        <v>na</v>
      </c>
      <c r="X41" s="37" t="str">
        <f t="shared" si="61"/>
        <v>na</v>
      </c>
      <c r="Y41" s="37" t="str">
        <f t="shared" si="61"/>
        <v>na</v>
      </c>
      <c r="Z41" s="37" t="str">
        <f t="shared" si="61"/>
        <v>na</v>
      </c>
      <c r="AA41" s="38" t="str">
        <f t="shared" si="61"/>
        <v>na</v>
      </c>
    </row>
    <row r="42" spans="1:27" ht="12" customHeight="1" x14ac:dyDescent="0.2">
      <c r="A42" s="5"/>
      <c r="B42" s="27">
        <f>$B$24</f>
        <v>600000</v>
      </c>
      <c r="C42" s="36">
        <f t="shared" ref="C42:I42" si="62">IFERROR((C$36+($B42/$M$7/$M$10))/C24,"na")</f>
        <v>220.71665315753791</v>
      </c>
      <c r="D42" s="37">
        <f t="shared" si="62"/>
        <v>223.08442579632879</v>
      </c>
      <c r="E42" s="37">
        <f t="shared" si="62"/>
        <v>229.48391916937666</v>
      </c>
      <c r="F42" s="37">
        <f t="shared" si="62"/>
        <v>241.4539477075584</v>
      </c>
      <c r="G42" s="37">
        <f t="shared" si="62"/>
        <v>255.67686759261326</v>
      </c>
      <c r="H42" s="37">
        <f t="shared" si="62"/>
        <v>281.7039066978258</v>
      </c>
      <c r="I42" s="38">
        <f t="shared" si="62"/>
        <v>314.03855622333663</v>
      </c>
      <c r="J42" s="5"/>
      <c r="K42" s="27">
        <f>$B$24</f>
        <v>600000</v>
      </c>
      <c r="L42" s="36">
        <f t="shared" ref="L42:R42" si="63">IFERROR((L$36+($K42/$M$7/$M$10))/L24,"na")</f>
        <v>82.119545742136651</v>
      </c>
      <c r="M42" s="37">
        <f t="shared" si="63"/>
        <v>90.202956729709655</v>
      </c>
      <c r="N42" s="37">
        <f t="shared" si="63"/>
        <v>57.920877239244973</v>
      </c>
      <c r="O42" s="37">
        <f t="shared" si="63"/>
        <v>62.201595890816705</v>
      </c>
      <c r="P42" s="37">
        <f t="shared" si="63"/>
        <v>66.090553661914171</v>
      </c>
      <c r="Q42" s="37">
        <f t="shared" si="63"/>
        <v>69.680914799146279</v>
      </c>
      <c r="R42" s="38">
        <f t="shared" si="63"/>
        <v>79.228231160801855</v>
      </c>
      <c r="S42" s="5"/>
      <c r="T42" s="27">
        <f>T43+1000000</f>
        <v>11000000</v>
      </c>
      <c r="U42" s="36" t="str">
        <f t="shared" ref="U42:AA42" si="64">IFERROR((U$36+($T42/$M$7/$M$10))/U24,"na")</f>
        <v>na</v>
      </c>
      <c r="V42" s="37" t="str">
        <f t="shared" si="64"/>
        <v>na</v>
      </c>
      <c r="W42" s="37" t="str">
        <f t="shared" si="64"/>
        <v>na</v>
      </c>
      <c r="X42" s="37" t="str">
        <f t="shared" si="64"/>
        <v>na</v>
      </c>
      <c r="Y42" s="37" t="str">
        <f t="shared" si="64"/>
        <v>na</v>
      </c>
      <c r="Z42" s="37" t="str">
        <f t="shared" si="64"/>
        <v>na</v>
      </c>
      <c r="AA42" s="38" t="str">
        <f t="shared" si="64"/>
        <v>na</v>
      </c>
    </row>
    <row r="43" spans="1:27" ht="12" customHeight="1" x14ac:dyDescent="0.2">
      <c r="A43" s="5"/>
      <c r="B43" s="27">
        <f>$B$25</f>
        <v>700000</v>
      </c>
      <c r="C43" s="36">
        <f t="shared" ref="C43:I43" si="65">IFERROR((C$36+($B43/$M$7/$M$10))/C25,"na")</f>
        <v>223.87192347541836</v>
      </c>
      <c r="D43" s="37">
        <f t="shared" si="65"/>
        <v>223.30551208061485</v>
      </c>
      <c r="E43" s="37">
        <f t="shared" si="65"/>
        <v>228.55679053387647</v>
      </c>
      <c r="F43" s="37">
        <f t="shared" si="65"/>
        <v>239.44905561391374</v>
      </c>
      <c r="G43" s="37">
        <f t="shared" si="65"/>
        <v>252.91933866318774</v>
      </c>
      <c r="H43" s="37">
        <f t="shared" si="65"/>
        <v>278.0833443877097</v>
      </c>
      <c r="I43" s="38">
        <f t="shared" si="65"/>
        <v>309.70966955322513</v>
      </c>
      <c r="J43" s="5"/>
      <c r="K43" s="27">
        <f>$B$25</f>
        <v>700000</v>
      </c>
      <c r="L43" s="36">
        <f t="shared" ref="L43:R43" si="66">IFERROR((L$36+($K43/$M$7/$M$10))/L25,"na")</f>
        <v>79.268804371026235</v>
      </c>
      <c r="M43" s="37">
        <f t="shared" si="66"/>
        <v>87.113989030591569</v>
      </c>
      <c r="N43" s="37">
        <f t="shared" si="66"/>
        <v>56.116422999529277</v>
      </c>
      <c r="O43" s="37">
        <f t="shared" si="66"/>
        <v>60.14655836396647</v>
      </c>
      <c r="P43" s="37">
        <f t="shared" si="66"/>
        <v>63.843546239187262</v>
      </c>
      <c r="Q43" s="37">
        <f t="shared" si="66"/>
        <v>67.277132792046928</v>
      </c>
      <c r="R43" s="38">
        <f t="shared" si="66"/>
        <v>76.471177970144851</v>
      </c>
      <c r="S43" s="5"/>
      <c r="T43" s="27">
        <f>T44+1000000</f>
        <v>10000000</v>
      </c>
      <c r="U43" s="36">
        <f t="shared" ref="U43:AA43" si="67">IFERROR((U$36+($T43/$M$7/$M$10))/U25,"na")</f>
        <v>15.150523567290239</v>
      </c>
      <c r="V43" s="37">
        <f t="shared" si="67"/>
        <v>16.717156694218065</v>
      </c>
      <c r="W43" s="37">
        <f t="shared" si="67"/>
        <v>18.68827835003804</v>
      </c>
      <c r="X43" s="37">
        <f t="shared" si="67"/>
        <v>22.896978018811389</v>
      </c>
      <c r="Y43" s="37">
        <f t="shared" si="67"/>
        <v>29.328569363773944</v>
      </c>
      <c r="Z43" s="37">
        <f t="shared" si="67"/>
        <v>46.315357556717572</v>
      </c>
      <c r="AA43" s="38">
        <f t="shared" si="67"/>
        <v>79.390774078804171</v>
      </c>
    </row>
    <row r="44" spans="1:27" ht="12" customHeight="1" x14ac:dyDescent="0.2">
      <c r="A44" s="5"/>
      <c r="B44" s="27">
        <f>$B$26</f>
        <v>800000</v>
      </c>
      <c r="C44" s="36">
        <f t="shared" ref="C44:I44" si="68">IFERROR((C$36+($B44/$M$7/$M$10))/C26,"na")</f>
        <v>227.34699192927198</v>
      </c>
      <c r="D44" s="37">
        <f t="shared" si="68"/>
        <v>223.92811140650304</v>
      </c>
      <c r="E44" s="37">
        <f t="shared" si="68"/>
        <v>228.0728866452155</v>
      </c>
      <c r="F44" s="37">
        <f t="shared" si="68"/>
        <v>237.93696532125173</v>
      </c>
      <c r="G44" s="37">
        <f t="shared" si="68"/>
        <v>250.69922782952503</v>
      </c>
      <c r="H44" s="37">
        <f t="shared" si="68"/>
        <v>275.06705474611476</v>
      </c>
      <c r="I44" s="38">
        <f t="shared" si="68"/>
        <v>306.05568699869326</v>
      </c>
      <c r="J44" s="5"/>
      <c r="K44" s="27">
        <f>$B$26</f>
        <v>800000</v>
      </c>
      <c r="L44" s="36">
        <f t="shared" ref="L44:R44" si="69">IFERROR((L$36+($K44/$M$7/$M$10))/L26,"na")</f>
        <v>76.933320363979746</v>
      </c>
      <c r="M44" s="37">
        <f t="shared" si="69"/>
        <v>84.576971313957074</v>
      </c>
      <c r="N44" s="37">
        <f t="shared" si="69"/>
        <v>54.680944437446186</v>
      </c>
      <c r="O44" s="37">
        <f t="shared" si="69"/>
        <v>58.492753481111407</v>
      </c>
      <c r="P44" s="37">
        <f t="shared" si="69"/>
        <v>62.023799418394965</v>
      </c>
      <c r="Q44" s="37">
        <f t="shared" si="69"/>
        <v>65.322636109249927</v>
      </c>
      <c r="R44" s="38">
        <f t="shared" si="69"/>
        <v>74.215212939496055</v>
      </c>
      <c r="S44" s="5"/>
      <c r="T44" s="27">
        <f>T45+1000000</f>
        <v>9000000</v>
      </c>
      <c r="U44" s="36">
        <f t="shared" ref="U44:AA44" si="70">IFERROR((U$36+($T44/$M$7/$M$10))/U26,"na")</f>
        <v>12.562584695907635</v>
      </c>
      <c r="V44" s="37">
        <f t="shared" si="70"/>
        <v>14.236236660506071</v>
      </c>
      <c r="W44" s="37">
        <f t="shared" si="70"/>
        <v>16.187605806223321</v>
      </c>
      <c r="X44" s="37">
        <f t="shared" si="70"/>
        <v>20.26340174993944</v>
      </c>
      <c r="Y44" s="37">
        <f t="shared" si="70"/>
        <v>26.438050019857634</v>
      </c>
      <c r="Z44" s="37">
        <f t="shared" si="70"/>
        <v>42.720082627397865</v>
      </c>
      <c r="AA44" s="38">
        <f t="shared" si="70"/>
        <v>74.515605944625861</v>
      </c>
    </row>
    <row r="45" spans="1:27" ht="12" customHeight="1" x14ac:dyDescent="0.2">
      <c r="A45" s="5"/>
      <c r="B45" s="27">
        <f>$B$27</f>
        <v>900000</v>
      </c>
      <c r="C45" s="36">
        <f t="shared" ref="C45:I45" si="71">IFERROR((C$36+($B45/$M$7/$M$10))/C27,"na")</f>
        <v>231.05384281518741</v>
      </c>
      <c r="D45" s="37">
        <f t="shared" si="71"/>
        <v>224.84815063174119</v>
      </c>
      <c r="E45" s="37">
        <f t="shared" si="71"/>
        <v>227.91933628091707</v>
      </c>
      <c r="F45" s="37">
        <f t="shared" si="71"/>
        <v>236.79385472296698</v>
      </c>
      <c r="G45" s="37">
        <f t="shared" si="71"/>
        <v>248.882483969292</v>
      </c>
      <c r="H45" s="37">
        <f t="shared" si="71"/>
        <v>272.50520358482476</v>
      </c>
      <c r="I45" s="38">
        <f t="shared" si="71"/>
        <v>302.90974954324707</v>
      </c>
      <c r="J45" s="5"/>
      <c r="K45" s="27">
        <f>$B$27</f>
        <v>900000</v>
      </c>
      <c r="L45" s="36">
        <f t="shared" ref="L45:R45" si="72">IFERROR((L$36+($K45/$M$7/$M$10))/L27,"na")</f>
        <v>74.974915106894969</v>
      </c>
      <c r="M45" s="37">
        <f t="shared" si="72"/>
        <v>82.444075049405782</v>
      </c>
      <c r="N45" s="37">
        <f t="shared" si="72"/>
        <v>53.514159738793666</v>
      </c>
      <c r="O45" s="37">
        <f t="shared" si="72"/>
        <v>57.131660853970274</v>
      </c>
      <c r="P45" s="37">
        <f t="shared" si="72"/>
        <v>60.516084339072265</v>
      </c>
      <c r="Q45" s="37">
        <f t="shared" si="72"/>
        <v>63.696485494450386</v>
      </c>
      <c r="R45" s="38">
        <f t="shared" si="72"/>
        <v>72.32587378095694</v>
      </c>
      <c r="S45" s="5"/>
      <c r="T45" s="27">
        <f>T46+1000000</f>
        <v>8000000</v>
      </c>
      <c r="U45" s="36">
        <f t="shared" ref="U45:AA45" si="73">IFERROR((U$36+($T45/$M$7/$M$10))/U27,"na")</f>
        <v>10.683820412716191</v>
      </c>
      <c r="V45" s="37">
        <f t="shared" si="73"/>
        <v>12.428649914555848</v>
      </c>
      <c r="W45" s="37">
        <f t="shared" si="73"/>
        <v>14.369307998316089</v>
      </c>
      <c r="X45" s="37">
        <f t="shared" si="73"/>
        <v>18.363082791740101</v>
      </c>
      <c r="Y45" s="37">
        <f t="shared" si="73"/>
        <v>24.376947263415452</v>
      </c>
      <c r="Z45" s="37">
        <f t="shared" si="73"/>
        <v>40.215656956992675</v>
      </c>
      <c r="AA45" s="38">
        <f t="shared" si="73"/>
        <v>71.204150835799467</v>
      </c>
    </row>
    <row r="46" spans="1:27" ht="12" customHeight="1" x14ac:dyDescent="0.2">
      <c r="A46" s="5"/>
      <c r="B46" s="27">
        <f>$B$28</f>
        <v>1000000</v>
      </c>
      <c r="C46" s="36">
        <f t="shared" ref="C46:I46" si="74">IFERROR((C$36+($B46/$M$7/$M$10))/C28,"na")</f>
        <v>234.93421556989992</v>
      </c>
      <c r="D46" s="37">
        <f t="shared" si="74"/>
        <v>225.99607057584174</v>
      </c>
      <c r="E46" s="37">
        <f t="shared" si="74"/>
        <v>228.02047730546437</v>
      </c>
      <c r="F46" s="37">
        <f t="shared" si="74"/>
        <v>235.93653247417754</v>
      </c>
      <c r="G46" s="37">
        <f t="shared" si="74"/>
        <v>247.37893134479512</v>
      </c>
      <c r="H46" s="37">
        <f t="shared" si="74"/>
        <v>270.29689539069113</v>
      </c>
      <c r="I46" s="38">
        <f t="shared" si="74"/>
        <v>300.15944099284019</v>
      </c>
      <c r="J46" s="5"/>
      <c r="K46" s="27">
        <f>$B$28</f>
        <v>1000000</v>
      </c>
      <c r="L46" s="36">
        <f t="shared" ref="L46:R46" si="75">IFERROR((L$36+($K46/$M$7/$M$10))/L28,"na")</f>
        <v>73.302923236076467</v>
      </c>
      <c r="M46" s="37">
        <f t="shared" si="75"/>
        <v>80.618277427902939</v>
      </c>
      <c r="N46" s="37">
        <f t="shared" si="75"/>
        <v>52.55044941425011</v>
      </c>
      <c r="O46" s="37">
        <f t="shared" si="75"/>
        <v>55.992199616771678</v>
      </c>
      <c r="P46" s="37">
        <f t="shared" si="75"/>
        <v>59.244881698214606</v>
      </c>
      <c r="Q46" s="37">
        <f t="shared" si="75"/>
        <v>62.31938829326063</v>
      </c>
      <c r="R46" s="38">
        <f t="shared" si="75"/>
        <v>70.714944866772854</v>
      </c>
      <c r="S46" s="5"/>
      <c r="T46" s="27">
        <f>T47+1000000</f>
        <v>7000000</v>
      </c>
      <c r="U46" s="36">
        <f t="shared" ref="U46:AA46" si="76">IFERROR((U$36+($T46/$M$7/$M$10))/U28,"na")</f>
        <v>9.1794560065046404</v>
      </c>
      <c r="V46" s="37">
        <f t="shared" si="76"/>
        <v>10.97618175255467</v>
      </c>
      <c r="W46" s="37">
        <f t="shared" si="76"/>
        <v>12.910625077451</v>
      </c>
      <c r="X46" s="37">
        <f t="shared" si="76"/>
        <v>16.848786025504381</v>
      </c>
      <c r="Y46" s="37">
        <f t="shared" si="76"/>
        <v>22.752065182142889</v>
      </c>
      <c r="Z46" s="37">
        <f t="shared" si="76"/>
        <v>38.284243177442995</v>
      </c>
      <c r="AA46" s="38">
        <f t="shared" si="76"/>
        <v>68.713389939708023</v>
      </c>
    </row>
    <row r="47" spans="1:27" ht="12" customHeight="1" x14ac:dyDescent="0.2">
      <c r="A47" s="5"/>
      <c r="B47" s="27">
        <f>$B$29</f>
        <v>2000000</v>
      </c>
      <c r="C47" s="36">
        <f t="shared" ref="C47:I47" si="77">IFERROR((C$36+($B47/$M$7/$M$10))/C29,"na")</f>
        <v>277.99750512759738</v>
      </c>
      <c r="D47" s="37">
        <f t="shared" si="77"/>
        <v>243.54868226169117</v>
      </c>
      <c r="E47" s="37">
        <f t="shared" si="77"/>
        <v>235.96334991205092</v>
      </c>
      <c r="F47" s="37">
        <f t="shared" si="77"/>
        <v>235.25892943011826</v>
      </c>
      <c r="G47" s="37">
        <f t="shared" si="77"/>
        <v>241.0645384344524</v>
      </c>
      <c r="H47" s="37">
        <f t="shared" si="77"/>
        <v>258.12054637389275</v>
      </c>
      <c r="I47" s="38">
        <f t="shared" si="77"/>
        <v>283.7761808287845</v>
      </c>
      <c r="J47" s="5"/>
      <c r="K47" s="27">
        <f>$B$29</f>
        <v>2000000</v>
      </c>
      <c r="L47" s="36">
        <f t="shared" ref="L47:R47" si="78">IFERROR((L$36+($K47/$M$7/$M$10))/L29,"na")</f>
        <v>64.163153856245856</v>
      </c>
      <c r="M47" s="37">
        <f t="shared" si="78"/>
        <v>70.499747337720478</v>
      </c>
      <c r="N47" s="37">
        <f t="shared" si="78"/>
        <v>48.204850590825622</v>
      </c>
      <c r="O47" s="37">
        <f t="shared" si="78"/>
        <v>50.405885695975506</v>
      </c>
      <c r="P47" s="37">
        <f t="shared" si="78"/>
        <v>52.75191400325491</v>
      </c>
      <c r="Q47" s="37">
        <f t="shared" si="78"/>
        <v>55.111599333949343</v>
      </c>
      <c r="R47" s="38">
        <f t="shared" si="78"/>
        <v>61.968793265162248</v>
      </c>
      <c r="S47" s="5"/>
      <c r="T47" s="27">
        <v>6000000</v>
      </c>
      <c r="U47" s="36">
        <f t="shared" ref="U47:AA47" si="79">IFERROR((U$36+($T47/$M$7/$M$10))/U29,"na")</f>
        <v>10.389950568927242</v>
      </c>
      <c r="V47" s="37">
        <f t="shared" si="79"/>
        <v>12.391889761690754</v>
      </c>
      <c r="W47" s="37">
        <f t="shared" si="79"/>
        <v>14.57870642039801</v>
      </c>
      <c r="X47" s="37">
        <f t="shared" si="79"/>
        <v>19.024339030428912</v>
      </c>
      <c r="Y47" s="37">
        <f t="shared" si="79"/>
        <v>25.644075725108873</v>
      </c>
      <c r="Z47" s="37">
        <f t="shared" si="79"/>
        <v>42.86413866277438</v>
      </c>
      <c r="AA47" s="38">
        <f t="shared" si="79"/>
        <v>76.129033155270733</v>
      </c>
    </row>
    <row r="48" spans="1:27" ht="12" customHeight="1" x14ac:dyDescent="0.2">
      <c r="A48" s="5"/>
      <c r="B48" s="27">
        <f>$B$30</f>
        <v>3000000</v>
      </c>
      <c r="C48" s="36">
        <f t="shared" ref="C48:I48" si="80">IFERROR((C$36+($B48/$M$7/$M$10))/C30,"na")</f>
        <v>323.409857898675</v>
      </c>
      <c r="D48" s="37">
        <f t="shared" si="80"/>
        <v>265.25195850153079</v>
      </c>
      <c r="E48" s="37">
        <f t="shared" si="80"/>
        <v>248.86418076639026</v>
      </c>
      <c r="F48" s="37">
        <f t="shared" si="80"/>
        <v>240.40657893368177</v>
      </c>
      <c r="G48" s="37">
        <f t="shared" si="80"/>
        <v>241.2860774230553</v>
      </c>
      <c r="H48" s="37">
        <f t="shared" si="80"/>
        <v>253.45995046927061</v>
      </c>
      <c r="I48" s="38">
        <f t="shared" si="80"/>
        <v>275.87845796233847</v>
      </c>
      <c r="J48" s="5"/>
      <c r="K48" s="27">
        <f>$B$30</f>
        <v>3000000</v>
      </c>
      <c r="L48" s="36">
        <f t="shared" ref="L48:R48" si="81">IFERROR((L$36+($K48/$M$7/$M$10))/L30,"na")</f>
        <v>60.342425789711058</v>
      </c>
      <c r="M48" s="37">
        <f t="shared" si="81"/>
        <v>66.108829611498791</v>
      </c>
      <c r="N48" s="37">
        <f t="shared" si="81"/>
        <v>47.459445692704072</v>
      </c>
      <c r="O48" s="37">
        <f t="shared" si="81"/>
        <v>48.817309673437393</v>
      </c>
      <c r="P48" s="37">
        <f t="shared" si="81"/>
        <v>50.56792934753107</v>
      </c>
      <c r="Q48" s="37">
        <f t="shared" si="81"/>
        <v>52.470882646684139</v>
      </c>
      <c r="R48" s="38">
        <f t="shared" si="81"/>
        <v>58.38232952057556</v>
      </c>
      <c r="S48" s="5"/>
      <c r="T48" s="93">
        <f>$B$30</f>
        <v>3000000</v>
      </c>
      <c r="U48" s="36">
        <f t="shared" ref="U48:AA48" si="82">IFERROR((U$36+($T48/$M$7/$M$10))/U30,"na")</f>
        <v>6.1367101711466958</v>
      </c>
      <c r="V48" s="37">
        <f t="shared" si="82"/>
        <v>8.3290845192172434</v>
      </c>
      <c r="W48" s="37">
        <f t="shared" si="82"/>
        <v>10.537481615569453</v>
      </c>
      <c r="X48" s="37">
        <f t="shared" si="82"/>
        <v>14.895613206909122</v>
      </c>
      <c r="Y48" s="37">
        <f t="shared" si="82"/>
        <v>21.294460521830853</v>
      </c>
      <c r="Z48" s="37">
        <f t="shared" si="82"/>
        <v>37.854469571885581</v>
      </c>
      <c r="AA48" s="38">
        <f t="shared" si="82"/>
        <v>69.875779920676564</v>
      </c>
    </row>
    <row r="49" spans="1:27" ht="12" customHeight="1" x14ac:dyDescent="0.2">
      <c r="A49" s="5"/>
      <c r="B49" s="27">
        <f>$B$31</f>
        <v>4000000</v>
      </c>
      <c r="C49" s="36">
        <f t="shared" ref="C49:I49" si="83">IFERROR((C$36+($B49/$M$7/$M$10))/C31,"na")</f>
        <v>369.0968910526442</v>
      </c>
      <c r="D49" s="37">
        <f t="shared" si="83"/>
        <v>288.21894114894496</v>
      </c>
      <c r="E49" s="37">
        <f t="shared" si="83"/>
        <v>263.44764884735633</v>
      </c>
      <c r="F49" s="37">
        <f t="shared" si="83"/>
        <v>247.66425470226187</v>
      </c>
      <c r="G49" s="37">
        <f t="shared" si="83"/>
        <v>243.94885696271882</v>
      </c>
      <c r="H49" s="37">
        <f t="shared" si="83"/>
        <v>251.6718225814071</v>
      </c>
      <c r="I49" s="38">
        <f t="shared" si="83"/>
        <v>271.25877949418754</v>
      </c>
      <c r="J49" s="5"/>
      <c r="K49" s="27">
        <f>$B$31</f>
        <v>4000000</v>
      </c>
      <c r="L49" s="36">
        <f t="shared" ref="L49:R49" si="84">IFERROR((L$36+($K49/$M$7/$M$10))/L31,"na")</f>
        <v>58.364832854014757</v>
      </c>
      <c r="M49" s="37">
        <f t="shared" si="84"/>
        <v>63.71322005437397</v>
      </c>
      <c r="N49" s="37">
        <f t="shared" si="84"/>
        <v>47.887307207759036</v>
      </c>
      <c r="O49" s="37">
        <f t="shared" si="84"/>
        <v>48.562717106624405</v>
      </c>
      <c r="P49" s="37">
        <f t="shared" si="84"/>
        <v>49.840917114583242</v>
      </c>
      <c r="Q49" s="37">
        <f t="shared" si="84"/>
        <v>51.38749993633644</v>
      </c>
      <c r="R49" s="38">
        <f t="shared" si="84"/>
        <v>56.57912843735776</v>
      </c>
      <c r="S49" s="5"/>
      <c r="T49" s="27">
        <f>$B$31</f>
        <v>4000000</v>
      </c>
      <c r="U49" s="36">
        <f t="shared" ref="U49:AA49" si="85">IFERROR((U$36+($T49/$M$7/$M$10))/U31,"na")</f>
        <v>8.0096640697457424</v>
      </c>
      <c r="V49" s="37">
        <f t="shared" si="85"/>
        <v>10.229256295427096</v>
      </c>
      <c r="W49" s="37">
        <f t="shared" si="85"/>
        <v>12.523920455577993</v>
      </c>
      <c r="X49" s="37">
        <f t="shared" si="85"/>
        <v>17.088019536237674</v>
      </c>
      <c r="Y49" s="37">
        <f t="shared" si="85"/>
        <v>23.801828905776343</v>
      </c>
      <c r="Z49" s="37">
        <f t="shared" si="85"/>
        <v>41.138529215802791</v>
      </c>
      <c r="AA49" s="38">
        <f t="shared" si="85"/>
        <v>74.498162693503986</v>
      </c>
    </row>
    <row r="50" spans="1:27" ht="12" customHeight="1" x14ac:dyDescent="0.2">
      <c r="A50" s="5"/>
      <c r="B50" s="32">
        <f>$B$32</f>
        <v>5000000</v>
      </c>
      <c r="C50" s="39">
        <f t="shared" ref="C50:I50" si="86">IFERROR((C$36+($B50/$M$7/$M$10))/C32,"na")</f>
        <v>414.60084094059414</v>
      </c>
      <c r="D50" s="40">
        <f t="shared" si="86"/>
        <v>311.67467828232907</v>
      </c>
      <c r="E50" s="40">
        <f t="shared" si="86"/>
        <v>278.79561498240395</v>
      </c>
      <c r="F50" s="40">
        <f t="shared" si="86"/>
        <v>255.95900074803953</v>
      </c>
      <c r="G50" s="40">
        <f t="shared" si="86"/>
        <v>247.85223370724626</v>
      </c>
      <c r="H50" s="40">
        <f t="shared" si="86"/>
        <v>251.37836855955078</v>
      </c>
      <c r="I50" s="41">
        <f t="shared" si="86"/>
        <v>268.36309060567567</v>
      </c>
      <c r="J50" s="5"/>
      <c r="K50" s="32">
        <f>$B$32</f>
        <v>5000000</v>
      </c>
      <c r="L50" s="39">
        <f t="shared" ref="L50:R50" si="87">IFERROR((L$36+($K50/$M$7/$M$10))/L32,"na")</f>
        <v>57.287203968861483</v>
      </c>
      <c r="M50" s="40">
        <f t="shared" si="87"/>
        <v>62.297074743419614</v>
      </c>
      <c r="N50" s="40">
        <f t="shared" si="87"/>
        <v>48.851627324707991</v>
      </c>
      <c r="O50" s="40">
        <f t="shared" si="87"/>
        <v>48.934319959887738</v>
      </c>
      <c r="P50" s="40">
        <f t="shared" si="87"/>
        <v>49.807577757946227</v>
      </c>
      <c r="Q50" s="40">
        <f t="shared" si="87"/>
        <v>51.052155138907118</v>
      </c>
      <c r="R50" s="41">
        <f t="shared" si="87"/>
        <v>55.644374323783651</v>
      </c>
      <c r="S50" s="5"/>
      <c r="T50" s="32">
        <f>$B$32</f>
        <v>5000000</v>
      </c>
      <c r="U50" s="39">
        <f t="shared" ref="U50:AA50" si="88">IFERROR((U$36+($T50/$M$7/$M$10))/U32,"na")</f>
        <v>8.2786683460670076</v>
      </c>
      <c r="V50" s="40">
        <f t="shared" si="88"/>
        <v>10.298135232980187</v>
      </c>
      <c r="W50" s="40">
        <f t="shared" si="88"/>
        <v>12.420856345787408</v>
      </c>
      <c r="X50" s="40">
        <f t="shared" si="88"/>
        <v>16.684876054585896</v>
      </c>
      <c r="Y50" s="40">
        <f t="shared" si="88"/>
        <v>23.008990354506448</v>
      </c>
      <c r="Z50" s="40">
        <f t="shared" si="88"/>
        <v>39.476340590389668</v>
      </c>
      <c r="AA50" s="41">
        <f t="shared" si="88"/>
        <v>71.422388595326339</v>
      </c>
    </row>
    <row r="51" spans="1:27" ht="12" customHeight="1" x14ac:dyDescent="0.2">
      <c r="A51" s="5"/>
      <c r="B51" s="6"/>
      <c r="C51" s="6"/>
      <c r="D51" s="6"/>
      <c r="E51" s="6"/>
      <c r="F51" s="6"/>
      <c r="G51" s="6"/>
      <c r="H51" s="6"/>
      <c r="I51" s="6"/>
      <c r="J51" s="5"/>
      <c r="K51" s="6"/>
      <c r="L51" s="6"/>
      <c r="M51" s="6"/>
      <c r="N51" s="6"/>
      <c r="O51" s="6"/>
      <c r="P51" s="6"/>
      <c r="Q51" s="6"/>
      <c r="R51" s="6"/>
      <c r="S51" s="5"/>
      <c r="T51" s="6"/>
      <c r="U51" s="6"/>
      <c r="V51" s="6"/>
      <c r="W51" s="6"/>
      <c r="X51" s="6"/>
      <c r="Y51" s="6"/>
      <c r="Z51" s="6"/>
      <c r="AA51" s="6"/>
    </row>
    <row r="52" spans="1:27" ht="12" customHeight="1" x14ac:dyDescent="0.2">
      <c r="A52" s="5"/>
      <c r="B52" s="6"/>
      <c r="C52" s="64" t="s">
        <v>41</v>
      </c>
      <c r="D52" s="65"/>
      <c r="E52" s="65"/>
      <c r="F52" s="65"/>
      <c r="G52" s="65"/>
      <c r="H52" s="65"/>
      <c r="I52" s="66"/>
      <c r="J52" s="5"/>
      <c r="K52" s="6"/>
      <c r="L52" s="64" t="s">
        <v>41</v>
      </c>
      <c r="M52" s="65"/>
      <c r="N52" s="65"/>
      <c r="O52" s="65"/>
      <c r="P52" s="65"/>
      <c r="Q52" s="65"/>
      <c r="R52" s="66"/>
      <c r="S52" s="5"/>
      <c r="T52" s="6"/>
      <c r="U52" s="64" t="s">
        <v>41</v>
      </c>
      <c r="V52" s="65"/>
      <c r="W52" s="65"/>
      <c r="X52" s="65"/>
      <c r="Y52" s="65"/>
      <c r="Z52" s="65"/>
      <c r="AA52" s="66"/>
    </row>
    <row r="53" spans="1:27" ht="12" customHeight="1" x14ac:dyDescent="0.2">
      <c r="A53" s="5"/>
      <c r="B53" s="11" t="s">
        <v>42</v>
      </c>
      <c r="C53" s="15">
        <f>$C$18</f>
        <v>500</v>
      </c>
      <c r="D53" s="16">
        <f>$D$18</f>
        <v>1000</v>
      </c>
      <c r="E53" s="16">
        <f>$E$18</f>
        <v>1500</v>
      </c>
      <c r="F53" s="16">
        <f>$F$18</f>
        <v>2500</v>
      </c>
      <c r="G53" s="16">
        <f>$G$18</f>
        <v>4000</v>
      </c>
      <c r="H53" s="16">
        <f>$H$18</f>
        <v>8000</v>
      </c>
      <c r="I53" s="17">
        <f>$I$18</f>
        <v>16000</v>
      </c>
      <c r="J53" s="5"/>
      <c r="K53" s="11" t="s">
        <v>43</v>
      </c>
      <c r="L53" s="15">
        <f>$C$18</f>
        <v>500</v>
      </c>
      <c r="M53" s="16">
        <f>$D$18</f>
        <v>1000</v>
      </c>
      <c r="N53" s="16">
        <f>$E$18</f>
        <v>1500</v>
      </c>
      <c r="O53" s="16">
        <f>$F$18</f>
        <v>2500</v>
      </c>
      <c r="P53" s="16">
        <f>$G$18</f>
        <v>4000</v>
      </c>
      <c r="Q53" s="16">
        <f>$H$18</f>
        <v>8000</v>
      </c>
      <c r="R53" s="17">
        <f>$I$18</f>
        <v>16000</v>
      </c>
      <c r="S53" s="5"/>
      <c r="T53" s="11" t="s">
        <v>44</v>
      </c>
      <c r="U53" s="15">
        <f>$C$18</f>
        <v>500</v>
      </c>
      <c r="V53" s="16">
        <f>$D$18</f>
        <v>1000</v>
      </c>
      <c r="W53" s="16">
        <f>$E$18</f>
        <v>1500</v>
      </c>
      <c r="X53" s="16">
        <f>$F$18</f>
        <v>2500</v>
      </c>
      <c r="Y53" s="16">
        <f>$G$18</f>
        <v>4000</v>
      </c>
      <c r="Z53" s="16">
        <f>$H$18</f>
        <v>8000</v>
      </c>
      <c r="AA53" s="17">
        <f>$I$18</f>
        <v>16000</v>
      </c>
    </row>
    <row r="54" spans="1:27" ht="12" customHeight="1" x14ac:dyDescent="0.2">
      <c r="A54" s="5"/>
      <c r="B54" s="22">
        <f>$B$19</f>
        <v>100000</v>
      </c>
      <c r="C54" s="33">
        <f t="shared" ref="C54:I54" si="89">IF(C37="na","na",C37+$M$13)</f>
        <v>324.33342596655666</v>
      </c>
      <c r="D54" s="34">
        <f t="shared" si="89"/>
        <v>344.74244032273259</v>
      </c>
      <c r="E54" s="34">
        <f t="shared" si="89"/>
        <v>358.75161878668786</v>
      </c>
      <c r="F54" s="34">
        <f t="shared" si="89"/>
        <v>378.45310687818534</v>
      </c>
      <c r="G54" s="34">
        <f t="shared" si="89"/>
        <v>398.63957705289607</v>
      </c>
      <c r="H54" s="34">
        <f t="shared" si="89"/>
        <v>432.39114246319753</v>
      </c>
      <c r="I54" s="35">
        <f t="shared" si="89"/>
        <v>471.95565410750964</v>
      </c>
      <c r="J54" s="5"/>
      <c r="K54" s="22">
        <f>$B$19</f>
        <v>100000</v>
      </c>
      <c r="L54" s="33" t="str">
        <f t="shared" ref="L54:R54" si="90">IF(L37="na","na",L37+$M$13)</f>
        <v>na</v>
      </c>
      <c r="M54" s="34" t="str">
        <f t="shared" si="90"/>
        <v>na</v>
      </c>
      <c r="N54" s="34" t="str">
        <f t="shared" si="90"/>
        <v>na</v>
      </c>
      <c r="O54" s="34" t="str">
        <f t="shared" si="90"/>
        <v>na</v>
      </c>
      <c r="P54" s="34" t="str">
        <f t="shared" si="90"/>
        <v>na</v>
      </c>
      <c r="Q54" s="34" t="str">
        <f t="shared" si="90"/>
        <v>na</v>
      </c>
      <c r="R54" s="35" t="str">
        <f t="shared" si="90"/>
        <v>na</v>
      </c>
      <c r="S54" s="5"/>
      <c r="T54" s="22">
        <f>$B$19</f>
        <v>100000</v>
      </c>
      <c r="U54" s="33" t="str">
        <f t="shared" ref="U54:AA54" si="91">IF(U37="na","na",U37+$M$13)</f>
        <v>na</v>
      </c>
      <c r="V54" s="34" t="str">
        <f t="shared" si="91"/>
        <v>na</v>
      </c>
      <c r="W54" s="34" t="str">
        <f t="shared" si="91"/>
        <v>na</v>
      </c>
      <c r="X54" s="34" t="str">
        <f t="shared" si="91"/>
        <v>na</v>
      </c>
      <c r="Y54" s="34" t="str">
        <f t="shared" si="91"/>
        <v>na</v>
      </c>
      <c r="Z54" s="34" t="str">
        <f t="shared" si="91"/>
        <v>na</v>
      </c>
      <c r="AA54" s="35" t="str">
        <f t="shared" si="91"/>
        <v>na</v>
      </c>
    </row>
    <row r="55" spans="1:27" ht="12" customHeight="1" x14ac:dyDescent="0.2">
      <c r="A55" s="5"/>
      <c r="B55" s="27">
        <f>$B$20</f>
        <v>200000</v>
      </c>
      <c r="C55" s="36">
        <f t="shared" ref="C55:I55" si="92">IF(C38="na","na",C38+$M$13)</f>
        <v>316.72458608683814</v>
      </c>
      <c r="D55" s="37">
        <f t="shared" si="92"/>
        <v>332.49454548767704</v>
      </c>
      <c r="E55" s="37">
        <f t="shared" si="92"/>
        <v>344.38747785477278</v>
      </c>
      <c r="F55" s="37">
        <f t="shared" si="92"/>
        <v>361.78036828720639</v>
      </c>
      <c r="G55" s="37">
        <f t="shared" si="92"/>
        <v>380.04575023794979</v>
      </c>
      <c r="H55" s="37">
        <f t="shared" si="92"/>
        <v>411.10938371629919</v>
      </c>
      <c r="I55" s="38">
        <f t="shared" si="92"/>
        <v>447.98066566263998</v>
      </c>
      <c r="J55" s="5"/>
      <c r="K55" s="27">
        <f>$B$20</f>
        <v>200000</v>
      </c>
      <c r="L55" s="36" t="str">
        <f t="shared" ref="L55:R55" si="93">IF(L38="na","na",L38+$M$13)</f>
        <v>na</v>
      </c>
      <c r="M55" s="37" t="str">
        <f t="shared" si="93"/>
        <v>na</v>
      </c>
      <c r="N55" s="37" t="str">
        <f t="shared" si="93"/>
        <v>na</v>
      </c>
      <c r="O55" s="37" t="str">
        <f t="shared" si="93"/>
        <v>na</v>
      </c>
      <c r="P55" s="37" t="str">
        <f t="shared" si="93"/>
        <v>na</v>
      </c>
      <c r="Q55" s="37" t="str">
        <f t="shared" si="93"/>
        <v>na</v>
      </c>
      <c r="R55" s="38" t="str">
        <f t="shared" si="93"/>
        <v>na</v>
      </c>
      <c r="S55" s="5"/>
      <c r="T55" s="27">
        <f>$B$20</f>
        <v>200000</v>
      </c>
      <c r="U55" s="36" t="str">
        <f t="shared" ref="U55:AA55" si="94">IF(U38="na","na",U38+$M$13)</f>
        <v>na</v>
      </c>
      <c r="V55" s="37" t="str">
        <f t="shared" si="94"/>
        <v>na</v>
      </c>
      <c r="W55" s="37" t="str">
        <f t="shared" si="94"/>
        <v>na</v>
      </c>
      <c r="X55" s="37" t="str">
        <f t="shared" si="94"/>
        <v>na</v>
      </c>
      <c r="Y55" s="37" t="str">
        <f t="shared" si="94"/>
        <v>na</v>
      </c>
      <c r="Z55" s="37" t="str">
        <f t="shared" si="94"/>
        <v>na</v>
      </c>
      <c r="AA55" s="38" t="str">
        <f t="shared" si="94"/>
        <v>na</v>
      </c>
    </row>
    <row r="56" spans="1:27" ht="12" customHeight="1" x14ac:dyDescent="0.2">
      <c r="A56" s="5"/>
      <c r="B56" s="27">
        <f>$B$21</f>
        <v>300000</v>
      </c>
      <c r="C56" s="36">
        <f t="shared" ref="C56:I56" si="95">IF(C39="na","na",C39+$M$13)</f>
        <v>315.22678223235641</v>
      </c>
      <c r="D56" s="37">
        <f t="shared" si="95"/>
        <v>327.22167491061339</v>
      </c>
      <c r="E56" s="37">
        <f t="shared" si="95"/>
        <v>337.50461183986738</v>
      </c>
      <c r="F56" s="37">
        <f t="shared" si="95"/>
        <v>353.24416213883558</v>
      </c>
      <c r="G56" s="37">
        <f t="shared" si="95"/>
        <v>370.21869126659209</v>
      </c>
      <c r="H56" s="37">
        <f t="shared" si="95"/>
        <v>399.58815861063562</v>
      </c>
      <c r="I56" s="38">
        <f t="shared" si="95"/>
        <v>434.85408383001527</v>
      </c>
      <c r="J56" s="5"/>
      <c r="K56" s="27">
        <f>$B$21</f>
        <v>300000</v>
      </c>
      <c r="L56" s="36" t="str">
        <f t="shared" ref="L56:R56" si="96">IF(L39="na","na",L39+$M$13)</f>
        <v>na</v>
      </c>
      <c r="M56" s="37" t="str">
        <f t="shared" si="96"/>
        <v>na</v>
      </c>
      <c r="N56" s="37" t="str">
        <f t="shared" si="96"/>
        <v>na</v>
      </c>
      <c r="O56" s="37" t="str">
        <f t="shared" si="96"/>
        <v>na</v>
      </c>
      <c r="P56" s="37" t="str">
        <f t="shared" si="96"/>
        <v>na</v>
      </c>
      <c r="Q56" s="37" t="str">
        <f t="shared" si="96"/>
        <v>na</v>
      </c>
      <c r="R56" s="38" t="str">
        <f t="shared" si="96"/>
        <v>na</v>
      </c>
      <c r="S56" s="5"/>
      <c r="T56" s="27">
        <f>$B$21</f>
        <v>300000</v>
      </c>
      <c r="U56" s="36" t="str">
        <f t="shared" ref="U56:AA56" si="97">IF(U39="na","na",U39+$M$13)</f>
        <v>na</v>
      </c>
      <c r="V56" s="37" t="str">
        <f t="shared" si="97"/>
        <v>na</v>
      </c>
      <c r="W56" s="37" t="str">
        <f t="shared" si="97"/>
        <v>na</v>
      </c>
      <c r="X56" s="37" t="str">
        <f t="shared" si="97"/>
        <v>na</v>
      </c>
      <c r="Y56" s="37" t="str">
        <f t="shared" si="97"/>
        <v>na</v>
      </c>
      <c r="Z56" s="37" t="str">
        <f t="shared" si="97"/>
        <v>na</v>
      </c>
      <c r="AA56" s="38" t="str">
        <f t="shared" si="97"/>
        <v>na</v>
      </c>
    </row>
    <row r="57" spans="1:27" ht="12" customHeight="1" x14ac:dyDescent="0.2">
      <c r="A57" s="5"/>
      <c r="B57" s="27">
        <f>$B$22</f>
        <v>400000</v>
      </c>
      <c r="C57" s="36">
        <f t="shared" ref="C57:I57" si="98">IF(C40="na","na",C40+$M$13)</f>
        <v>316.03319518101716</v>
      </c>
      <c r="D57" s="37">
        <f t="shared" si="98"/>
        <v>324.62621501937349</v>
      </c>
      <c r="E57" s="37">
        <f t="shared" si="98"/>
        <v>333.50981394499331</v>
      </c>
      <c r="F57" s="37">
        <f t="shared" si="98"/>
        <v>347.86295368427056</v>
      </c>
      <c r="G57" s="37">
        <f t="shared" si="98"/>
        <v>363.79938122434083</v>
      </c>
      <c r="H57" s="37">
        <f t="shared" si="98"/>
        <v>391.86868158509856</v>
      </c>
      <c r="I57" s="38">
        <f t="shared" si="98"/>
        <v>425.95724188461628</v>
      </c>
      <c r="J57" s="5"/>
      <c r="K57" s="27">
        <f>$B$22</f>
        <v>400000</v>
      </c>
      <c r="L57" s="36" t="str">
        <f t="shared" ref="L57:R57" si="99">IF(L40="na","na",L40+$M$13)</f>
        <v>na</v>
      </c>
      <c r="M57" s="37" t="str">
        <f t="shared" si="99"/>
        <v>na</v>
      </c>
      <c r="N57" s="37" t="str">
        <f t="shared" si="99"/>
        <v>na</v>
      </c>
      <c r="O57" s="37" t="str">
        <f t="shared" si="99"/>
        <v>na</v>
      </c>
      <c r="P57" s="37" t="str">
        <f t="shared" si="99"/>
        <v>na</v>
      </c>
      <c r="Q57" s="37" t="str">
        <f t="shared" si="99"/>
        <v>na</v>
      </c>
      <c r="R57" s="38" t="str">
        <f t="shared" si="99"/>
        <v>na</v>
      </c>
      <c r="S57" s="5"/>
      <c r="T57" s="27">
        <f>$B$22</f>
        <v>400000</v>
      </c>
      <c r="U57" s="36" t="str">
        <f t="shared" ref="U57:AA57" si="100">IF(U40="na","na",U40+$M$13)</f>
        <v>na</v>
      </c>
      <c r="V57" s="37" t="str">
        <f t="shared" si="100"/>
        <v>na</v>
      </c>
      <c r="W57" s="37" t="str">
        <f t="shared" si="100"/>
        <v>na</v>
      </c>
      <c r="X57" s="37" t="str">
        <f t="shared" si="100"/>
        <v>na</v>
      </c>
      <c r="Y57" s="37" t="str">
        <f t="shared" si="100"/>
        <v>na</v>
      </c>
      <c r="Z57" s="37" t="str">
        <f t="shared" si="100"/>
        <v>na</v>
      </c>
      <c r="AA57" s="38" t="str">
        <f t="shared" si="100"/>
        <v>na</v>
      </c>
    </row>
    <row r="58" spans="1:27" ht="12" customHeight="1" x14ac:dyDescent="0.2">
      <c r="A58" s="5"/>
      <c r="B58" s="27">
        <f>$B$23</f>
        <v>500000</v>
      </c>
      <c r="C58" s="36">
        <f t="shared" ref="C58:I58" si="101">IF(C41="na","na",C41+$M$13)</f>
        <v>318.02217843701669</v>
      </c>
      <c r="D58" s="37">
        <f t="shared" si="101"/>
        <v>323.43000384836574</v>
      </c>
      <c r="E58" s="37">
        <f t="shared" si="101"/>
        <v>331.03286360564226</v>
      </c>
      <c r="F58" s="37">
        <f t="shared" si="101"/>
        <v>344.14711820860032</v>
      </c>
      <c r="G58" s="37">
        <f t="shared" si="101"/>
        <v>359.18317737577854</v>
      </c>
      <c r="H58" s="37">
        <f t="shared" si="101"/>
        <v>386.16474973136923</v>
      </c>
      <c r="I58" s="38">
        <f t="shared" si="101"/>
        <v>419.30503896902081</v>
      </c>
      <c r="J58" s="5"/>
      <c r="K58" s="27">
        <f>$B$23</f>
        <v>500000</v>
      </c>
      <c r="L58" s="36">
        <f t="shared" ref="L58:R58" si="102">IF(L41="na","na",L41+$M$13)</f>
        <v>185.70980072454077</v>
      </c>
      <c r="M58" s="37">
        <f t="shared" si="102"/>
        <v>194.08372827148588</v>
      </c>
      <c r="N58" s="37">
        <f t="shared" si="102"/>
        <v>160.25750517436481</v>
      </c>
      <c r="O58" s="37">
        <f t="shared" si="102"/>
        <v>164.83429686818351</v>
      </c>
      <c r="P58" s="37">
        <f t="shared" si="102"/>
        <v>168.95204902124129</v>
      </c>
      <c r="Q58" s="37">
        <f t="shared" si="102"/>
        <v>172.7304114539705</v>
      </c>
      <c r="R58" s="38">
        <f t="shared" si="102"/>
        <v>182.70462532905648</v>
      </c>
      <c r="S58" s="5"/>
      <c r="T58" s="27">
        <f>$B$23</f>
        <v>500000</v>
      </c>
      <c r="U58" s="36" t="str">
        <f t="shared" ref="U58:AA58" si="103">IF(U41="na","na",U41+$M$13)</f>
        <v>na</v>
      </c>
      <c r="V58" s="37" t="str">
        <f t="shared" si="103"/>
        <v>na</v>
      </c>
      <c r="W58" s="37" t="str">
        <f t="shared" si="103"/>
        <v>na</v>
      </c>
      <c r="X58" s="37" t="str">
        <f t="shared" si="103"/>
        <v>na</v>
      </c>
      <c r="Y58" s="37" t="str">
        <f t="shared" si="103"/>
        <v>na</v>
      </c>
      <c r="Z58" s="37" t="str">
        <f t="shared" si="103"/>
        <v>na</v>
      </c>
      <c r="AA58" s="38" t="str">
        <f t="shared" si="103"/>
        <v>na</v>
      </c>
    </row>
    <row r="59" spans="1:27" ht="12" customHeight="1" x14ac:dyDescent="0.2">
      <c r="A59" s="5"/>
      <c r="B59" s="27">
        <f>$B$24</f>
        <v>600000</v>
      </c>
      <c r="C59" s="36">
        <f t="shared" ref="C59:I59" si="104">IF(C42="na","na",C42+$M$13)</f>
        <v>320.71665315753791</v>
      </c>
      <c r="D59" s="37">
        <f t="shared" si="104"/>
        <v>323.08442579632879</v>
      </c>
      <c r="E59" s="37">
        <f t="shared" si="104"/>
        <v>329.48391916937669</v>
      </c>
      <c r="F59" s="37">
        <f t="shared" si="104"/>
        <v>341.45394770755843</v>
      </c>
      <c r="G59" s="37">
        <f t="shared" si="104"/>
        <v>355.67686759261323</v>
      </c>
      <c r="H59" s="37">
        <f t="shared" si="104"/>
        <v>381.7039066978258</v>
      </c>
      <c r="I59" s="38">
        <f t="shared" si="104"/>
        <v>414.03855622333663</v>
      </c>
      <c r="J59" s="5"/>
      <c r="K59" s="27">
        <f>$B$24</f>
        <v>600000</v>
      </c>
      <c r="L59" s="36">
        <f t="shared" ref="L59:R59" si="105">IF(L42="na","na",L42+$M$13)</f>
        <v>182.11954574213667</v>
      </c>
      <c r="M59" s="37">
        <f t="shared" si="105"/>
        <v>190.20295672970965</v>
      </c>
      <c r="N59" s="37">
        <f t="shared" si="105"/>
        <v>157.92087723924499</v>
      </c>
      <c r="O59" s="37">
        <f t="shared" si="105"/>
        <v>162.20159589081669</v>
      </c>
      <c r="P59" s="37">
        <f t="shared" si="105"/>
        <v>166.09055366191416</v>
      </c>
      <c r="Q59" s="37">
        <f t="shared" si="105"/>
        <v>169.68091479914628</v>
      </c>
      <c r="R59" s="38">
        <f t="shared" si="105"/>
        <v>179.22823116080184</v>
      </c>
      <c r="S59" s="5"/>
      <c r="T59" s="27">
        <f>$B$24</f>
        <v>600000</v>
      </c>
      <c r="U59" s="36" t="str">
        <f t="shared" ref="U59:AA59" si="106">IF(U42="na","na",U42+$M$13)</f>
        <v>na</v>
      </c>
      <c r="V59" s="37" t="str">
        <f t="shared" si="106"/>
        <v>na</v>
      </c>
      <c r="W59" s="37" t="str">
        <f t="shared" si="106"/>
        <v>na</v>
      </c>
      <c r="X59" s="37" t="str">
        <f t="shared" si="106"/>
        <v>na</v>
      </c>
      <c r="Y59" s="37" t="str">
        <f t="shared" si="106"/>
        <v>na</v>
      </c>
      <c r="Z59" s="37" t="str">
        <f t="shared" si="106"/>
        <v>na</v>
      </c>
      <c r="AA59" s="38" t="str">
        <f t="shared" si="106"/>
        <v>na</v>
      </c>
    </row>
    <row r="60" spans="1:27" ht="12" customHeight="1" x14ac:dyDescent="0.2">
      <c r="A60" s="5"/>
      <c r="B60" s="27">
        <f>$B$25</f>
        <v>700000</v>
      </c>
      <c r="C60" s="36">
        <f t="shared" ref="C60:I60" si="107">IF(C43="na","na",C43+$M$13)</f>
        <v>323.87192347541838</v>
      </c>
      <c r="D60" s="37">
        <f t="shared" si="107"/>
        <v>323.30551208061485</v>
      </c>
      <c r="E60" s="37">
        <f t="shared" si="107"/>
        <v>328.55679053387644</v>
      </c>
      <c r="F60" s="37">
        <f t="shared" si="107"/>
        <v>339.44905561391374</v>
      </c>
      <c r="G60" s="37">
        <f t="shared" si="107"/>
        <v>352.91933866318777</v>
      </c>
      <c r="H60" s="37">
        <f t="shared" si="107"/>
        <v>378.0833443877097</v>
      </c>
      <c r="I60" s="38">
        <f t="shared" si="107"/>
        <v>409.70966955322513</v>
      </c>
      <c r="J60" s="5"/>
      <c r="K60" s="27">
        <f>$B$25</f>
        <v>700000</v>
      </c>
      <c r="L60" s="36">
        <f t="shared" ref="L60:R60" si="108">IF(L43="na","na",L43+$M$13)</f>
        <v>179.26880437102625</v>
      </c>
      <c r="M60" s="37">
        <f t="shared" si="108"/>
        <v>187.11398903059157</v>
      </c>
      <c r="N60" s="37">
        <f t="shared" si="108"/>
        <v>156.11642299952928</v>
      </c>
      <c r="O60" s="37">
        <f t="shared" si="108"/>
        <v>160.14655836396648</v>
      </c>
      <c r="P60" s="37">
        <f t="shared" si="108"/>
        <v>163.84354623918728</v>
      </c>
      <c r="Q60" s="37">
        <f t="shared" si="108"/>
        <v>167.27713279204693</v>
      </c>
      <c r="R60" s="38">
        <f t="shared" si="108"/>
        <v>176.47117797014485</v>
      </c>
      <c r="S60" s="5"/>
      <c r="T60" s="27">
        <f>$B$25</f>
        <v>700000</v>
      </c>
      <c r="U60" s="36">
        <f t="shared" ref="U60:AA60" si="109">IF(U43="na","na",U43+$M$13)</f>
        <v>115.15052356729024</v>
      </c>
      <c r="V60" s="37">
        <f t="shared" si="109"/>
        <v>116.71715669421806</v>
      </c>
      <c r="W60" s="37">
        <f t="shared" si="109"/>
        <v>118.68827835003805</v>
      </c>
      <c r="X60" s="37">
        <f t="shared" si="109"/>
        <v>122.89697801881138</v>
      </c>
      <c r="Y60" s="37">
        <f t="shared" si="109"/>
        <v>129.32856936377394</v>
      </c>
      <c r="Z60" s="37">
        <f t="shared" si="109"/>
        <v>146.31535755671757</v>
      </c>
      <c r="AA60" s="38">
        <f t="shared" si="109"/>
        <v>179.39077407880416</v>
      </c>
    </row>
    <row r="61" spans="1:27" ht="12" customHeight="1" x14ac:dyDescent="0.2">
      <c r="A61" s="5"/>
      <c r="B61" s="27">
        <f>$B$26</f>
        <v>800000</v>
      </c>
      <c r="C61" s="36">
        <f t="shared" ref="C61:I61" si="110">IF(C44="na","na",C44+$M$13)</f>
        <v>327.34699192927201</v>
      </c>
      <c r="D61" s="37">
        <f t="shared" si="110"/>
        <v>323.92811140650304</v>
      </c>
      <c r="E61" s="37">
        <f t="shared" si="110"/>
        <v>328.07288664521548</v>
      </c>
      <c r="F61" s="37">
        <f t="shared" si="110"/>
        <v>337.93696532125171</v>
      </c>
      <c r="G61" s="37">
        <f t="shared" si="110"/>
        <v>350.69922782952506</v>
      </c>
      <c r="H61" s="37">
        <f t="shared" si="110"/>
        <v>375.06705474611476</v>
      </c>
      <c r="I61" s="38">
        <f t="shared" si="110"/>
        <v>406.05568699869326</v>
      </c>
      <c r="J61" s="5"/>
      <c r="K61" s="27">
        <f>$B$26</f>
        <v>800000</v>
      </c>
      <c r="L61" s="36">
        <f t="shared" ref="L61:R61" si="111">IF(L44="na","na",L44+$M$13)</f>
        <v>176.93332036397976</v>
      </c>
      <c r="M61" s="37">
        <f t="shared" si="111"/>
        <v>184.57697131395707</v>
      </c>
      <c r="N61" s="37">
        <f t="shared" si="111"/>
        <v>154.68094443744619</v>
      </c>
      <c r="O61" s="37">
        <f t="shared" si="111"/>
        <v>158.49275348111141</v>
      </c>
      <c r="P61" s="37">
        <f t="shared" si="111"/>
        <v>162.02379941839496</v>
      </c>
      <c r="Q61" s="37">
        <f t="shared" si="111"/>
        <v>165.32263610924991</v>
      </c>
      <c r="R61" s="38">
        <f t="shared" si="111"/>
        <v>174.21521293949604</v>
      </c>
      <c r="S61" s="5"/>
      <c r="T61" s="27">
        <f>$B$26</f>
        <v>800000</v>
      </c>
      <c r="U61" s="36">
        <f t="shared" ref="U61:AA61" si="112">IF(U44="na","na",U44+$M$13)</f>
        <v>112.56258469590763</v>
      </c>
      <c r="V61" s="37">
        <f t="shared" si="112"/>
        <v>114.23623666050607</v>
      </c>
      <c r="W61" s="37">
        <f t="shared" si="112"/>
        <v>116.18760580622332</v>
      </c>
      <c r="X61" s="37">
        <f t="shared" si="112"/>
        <v>120.26340174993945</v>
      </c>
      <c r="Y61" s="37">
        <f t="shared" si="112"/>
        <v>126.43805001985763</v>
      </c>
      <c r="Z61" s="37">
        <f t="shared" si="112"/>
        <v>142.72008262739786</v>
      </c>
      <c r="AA61" s="38">
        <f t="shared" si="112"/>
        <v>174.51560594462586</v>
      </c>
    </row>
    <row r="62" spans="1:27" ht="12" customHeight="1" x14ac:dyDescent="0.2">
      <c r="A62" s="5"/>
      <c r="B62" s="27">
        <f>$B$27</f>
        <v>900000</v>
      </c>
      <c r="C62" s="36">
        <f t="shared" ref="C62:I62" si="113">IF(C45="na","na",C45+$M$13)</f>
        <v>331.05384281518741</v>
      </c>
      <c r="D62" s="37">
        <f t="shared" si="113"/>
        <v>324.84815063174119</v>
      </c>
      <c r="E62" s="37">
        <f t="shared" si="113"/>
        <v>327.91933628091704</v>
      </c>
      <c r="F62" s="37">
        <f t="shared" si="113"/>
        <v>336.79385472296701</v>
      </c>
      <c r="G62" s="37">
        <f t="shared" si="113"/>
        <v>348.88248396929202</v>
      </c>
      <c r="H62" s="37">
        <f t="shared" si="113"/>
        <v>372.50520358482476</v>
      </c>
      <c r="I62" s="38">
        <f t="shared" si="113"/>
        <v>402.90974954324707</v>
      </c>
      <c r="J62" s="5"/>
      <c r="K62" s="27">
        <f>$B$27</f>
        <v>900000</v>
      </c>
      <c r="L62" s="36">
        <f t="shared" ref="L62:R62" si="114">IF(L45="na","na",L45+$M$13)</f>
        <v>174.97491510689497</v>
      </c>
      <c r="M62" s="37">
        <f t="shared" si="114"/>
        <v>182.4440750494058</v>
      </c>
      <c r="N62" s="37">
        <f t="shared" si="114"/>
        <v>153.51415973879367</v>
      </c>
      <c r="O62" s="37">
        <f t="shared" si="114"/>
        <v>157.13166085397029</v>
      </c>
      <c r="P62" s="37">
        <f t="shared" si="114"/>
        <v>160.51608433907228</v>
      </c>
      <c r="Q62" s="37">
        <f t="shared" si="114"/>
        <v>163.69648549445037</v>
      </c>
      <c r="R62" s="38">
        <f t="shared" si="114"/>
        <v>172.32587378095695</v>
      </c>
      <c r="S62" s="5"/>
      <c r="T62" s="27">
        <f>$B$27</f>
        <v>900000</v>
      </c>
      <c r="U62" s="36">
        <f t="shared" ref="U62:AA62" si="115">IF(U45="na","na",U45+$M$13)</f>
        <v>110.68382041271619</v>
      </c>
      <c r="V62" s="37">
        <f t="shared" si="115"/>
        <v>112.42864991455585</v>
      </c>
      <c r="W62" s="37">
        <f t="shared" si="115"/>
        <v>114.36930799831609</v>
      </c>
      <c r="X62" s="37">
        <f t="shared" si="115"/>
        <v>118.3630827917401</v>
      </c>
      <c r="Y62" s="37">
        <f t="shared" si="115"/>
        <v>124.37694726341545</v>
      </c>
      <c r="Z62" s="37">
        <f t="shared" si="115"/>
        <v>140.21565695699269</v>
      </c>
      <c r="AA62" s="38">
        <f t="shared" si="115"/>
        <v>171.20415083579945</v>
      </c>
    </row>
    <row r="63" spans="1:27" ht="12" customHeight="1" x14ac:dyDescent="0.2">
      <c r="A63" s="5"/>
      <c r="B63" s="27">
        <f>$B$28</f>
        <v>1000000</v>
      </c>
      <c r="C63" s="36">
        <f t="shared" ref="C63:I63" si="116">IF(C46="na","na",C46+$M$13)</f>
        <v>334.93421556989995</v>
      </c>
      <c r="D63" s="37">
        <f t="shared" si="116"/>
        <v>325.99607057584171</v>
      </c>
      <c r="E63" s="37">
        <f t="shared" si="116"/>
        <v>328.0204773054644</v>
      </c>
      <c r="F63" s="37">
        <f t="shared" si="116"/>
        <v>335.93653247417751</v>
      </c>
      <c r="G63" s="37">
        <f t="shared" si="116"/>
        <v>347.37893134479509</v>
      </c>
      <c r="H63" s="37">
        <f t="shared" si="116"/>
        <v>370.29689539069113</v>
      </c>
      <c r="I63" s="38">
        <f t="shared" si="116"/>
        <v>400.15944099284019</v>
      </c>
      <c r="J63" s="5"/>
      <c r="K63" s="27">
        <f>$B$28</f>
        <v>1000000</v>
      </c>
      <c r="L63" s="36">
        <f t="shared" ref="L63:R63" si="117">IF(L46="na","na",L46+$M$13)</f>
        <v>173.30292323607648</v>
      </c>
      <c r="M63" s="37">
        <f t="shared" si="117"/>
        <v>180.61827742790294</v>
      </c>
      <c r="N63" s="37">
        <f t="shared" si="117"/>
        <v>152.55044941425012</v>
      </c>
      <c r="O63" s="37">
        <f t="shared" si="117"/>
        <v>155.99219961677167</v>
      </c>
      <c r="P63" s="37">
        <f t="shared" si="117"/>
        <v>159.24488169821461</v>
      </c>
      <c r="Q63" s="37">
        <f t="shared" si="117"/>
        <v>162.31938829326063</v>
      </c>
      <c r="R63" s="38">
        <f t="shared" si="117"/>
        <v>170.71494486677284</v>
      </c>
      <c r="S63" s="5"/>
      <c r="T63" s="27">
        <f>$B$28</f>
        <v>1000000</v>
      </c>
      <c r="U63" s="36">
        <f t="shared" ref="U63:AA63" si="118">IF(U46="na","na",U46+$M$13)</f>
        <v>109.17945600650464</v>
      </c>
      <c r="V63" s="37">
        <f t="shared" si="118"/>
        <v>110.97618175255467</v>
      </c>
      <c r="W63" s="37">
        <f t="shared" si="118"/>
        <v>112.910625077451</v>
      </c>
      <c r="X63" s="37">
        <f t="shared" si="118"/>
        <v>116.84878602550438</v>
      </c>
      <c r="Y63" s="37">
        <f t="shared" si="118"/>
        <v>122.75206518214289</v>
      </c>
      <c r="Z63" s="37">
        <f t="shared" si="118"/>
        <v>138.28424317744299</v>
      </c>
      <c r="AA63" s="38">
        <f t="shared" si="118"/>
        <v>168.71338993970801</v>
      </c>
    </row>
    <row r="64" spans="1:27" ht="12" customHeight="1" x14ac:dyDescent="0.2">
      <c r="A64" s="5"/>
      <c r="B64" s="27">
        <f>$B$29</f>
        <v>2000000</v>
      </c>
      <c r="C64" s="36">
        <f t="shared" ref="C64:I64" si="119">IF(C47="na","na",C47+$M$13)</f>
        <v>377.99750512759738</v>
      </c>
      <c r="D64" s="37">
        <f t="shared" si="119"/>
        <v>343.54868226169117</v>
      </c>
      <c r="E64" s="37">
        <f t="shared" si="119"/>
        <v>335.96334991205094</v>
      </c>
      <c r="F64" s="37">
        <f t="shared" si="119"/>
        <v>335.25892943011826</v>
      </c>
      <c r="G64" s="37">
        <f t="shared" si="119"/>
        <v>341.0645384344524</v>
      </c>
      <c r="H64" s="37">
        <f t="shared" si="119"/>
        <v>358.12054637389275</v>
      </c>
      <c r="I64" s="38">
        <f t="shared" si="119"/>
        <v>383.7761808287845</v>
      </c>
      <c r="J64" s="5"/>
      <c r="K64" s="27">
        <f>$B$29</f>
        <v>2000000</v>
      </c>
      <c r="L64" s="36">
        <f t="shared" ref="L64:R64" si="120">IF(L47="na","na",L47+$M$13)</f>
        <v>164.16315385624586</v>
      </c>
      <c r="M64" s="37">
        <f t="shared" si="120"/>
        <v>170.49974733772046</v>
      </c>
      <c r="N64" s="37">
        <f t="shared" si="120"/>
        <v>148.20485059082563</v>
      </c>
      <c r="O64" s="37">
        <f t="shared" si="120"/>
        <v>150.40588569597551</v>
      </c>
      <c r="P64" s="37">
        <f t="shared" si="120"/>
        <v>152.75191400325491</v>
      </c>
      <c r="Q64" s="37">
        <f t="shared" si="120"/>
        <v>155.11159933394936</v>
      </c>
      <c r="R64" s="38">
        <f t="shared" si="120"/>
        <v>161.96879326516225</v>
      </c>
      <c r="S64" s="5"/>
      <c r="T64" s="27">
        <f>$B$29</f>
        <v>2000000</v>
      </c>
      <c r="U64" s="36">
        <f t="shared" ref="U64:AA64" si="121">IF(U47="na","na",U47+$M$13)</f>
        <v>110.38995056892725</v>
      </c>
      <c r="V64" s="37">
        <f t="shared" si="121"/>
        <v>112.39188976169075</v>
      </c>
      <c r="W64" s="37">
        <f t="shared" si="121"/>
        <v>114.57870642039801</v>
      </c>
      <c r="X64" s="37">
        <f t="shared" si="121"/>
        <v>119.02433903042891</v>
      </c>
      <c r="Y64" s="37">
        <f t="shared" si="121"/>
        <v>125.64407572510888</v>
      </c>
      <c r="Z64" s="37">
        <f t="shared" si="121"/>
        <v>142.86413866277439</v>
      </c>
      <c r="AA64" s="38">
        <f t="shared" si="121"/>
        <v>176.12903315527075</v>
      </c>
    </row>
    <row r="65" spans="1:27" ht="12" customHeight="1" x14ac:dyDescent="0.2">
      <c r="A65" s="5"/>
      <c r="B65" s="27">
        <f>$B$30</f>
        <v>3000000</v>
      </c>
      <c r="C65" s="36">
        <f t="shared" ref="C65:I65" si="122">IF(C48="na","na",C48+$M$13)</f>
        <v>423.409857898675</v>
      </c>
      <c r="D65" s="37">
        <f t="shared" si="122"/>
        <v>365.25195850153079</v>
      </c>
      <c r="E65" s="37">
        <f t="shared" si="122"/>
        <v>348.86418076639029</v>
      </c>
      <c r="F65" s="37">
        <f t="shared" si="122"/>
        <v>340.40657893368177</v>
      </c>
      <c r="G65" s="37">
        <f t="shared" si="122"/>
        <v>341.2860774230553</v>
      </c>
      <c r="H65" s="37">
        <f t="shared" si="122"/>
        <v>353.45995046927061</v>
      </c>
      <c r="I65" s="38">
        <f t="shared" si="122"/>
        <v>375.87845796233847</v>
      </c>
      <c r="J65" s="5"/>
      <c r="K65" s="27">
        <f>$B$30</f>
        <v>3000000</v>
      </c>
      <c r="L65" s="36">
        <f t="shared" ref="L65:R65" si="123">IF(L48="na","na",L48+$M$13)</f>
        <v>160.34242578971106</v>
      </c>
      <c r="M65" s="37">
        <f t="shared" si="123"/>
        <v>166.10882961149878</v>
      </c>
      <c r="N65" s="37">
        <f t="shared" si="123"/>
        <v>147.45944569270407</v>
      </c>
      <c r="O65" s="37">
        <f t="shared" si="123"/>
        <v>148.81730967343739</v>
      </c>
      <c r="P65" s="37">
        <f t="shared" si="123"/>
        <v>150.56792934753108</v>
      </c>
      <c r="Q65" s="37">
        <f t="shared" si="123"/>
        <v>152.47088264668415</v>
      </c>
      <c r="R65" s="38">
        <f t="shared" si="123"/>
        <v>158.38232952057555</v>
      </c>
      <c r="S65" s="5"/>
      <c r="T65" s="27">
        <f>$B$30</f>
        <v>3000000</v>
      </c>
      <c r="U65" s="36">
        <f t="shared" ref="U65:AA65" si="124">IF(U48="na","na",U48+$M$13)</f>
        <v>106.13671017114669</v>
      </c>
      <c r="V65" s="37">
        <f t="shared" si="124"/>
        <v>108.32908451921725</v>
      </c>
      <c r="W65" s="37">
        <f t="shared" si="124"/>
        <v>110.53748161556945</v>
      </c>
      <c r="X65" s="37">
        <f t="shared" si="124"/>
        <v>114.89561320690912</v>
      </c>
      <c r="Y65" s="37">
        <f t="shared" si="124"/>
        <v>121.29446052183086</v>
      </c>
      <c r="Z65" s="37">
        <f t="shared" si="124"/>
        <v>137.85446957188557</v>
      </c>
      <c r="AA65" s="38">
        <f t="shared" si="124"/>
        <v>169.87577992067656</v>
      </c>
    </row>
    <row r="66" spans="1:27" ht="12" customHeight="1" x14ac:dyDescent="0.2">
      <c r="A66" s="5"/>
      <c r="B66" s="27">
        <f>$B$31</f>
        <v>4000000</v>
      </c>
      <c r="C66" s="36">
        <f t="shared" ref="C66:I66" si="125">IF(C49="na","na",C49+$M$13)</f>
        <v>469.0968910526442</v>
      </c>
      <c r="D66" s="37">
        <f t="shared" si="125"/>
        <v>388.21894114894496</v>
      </c>
      <c r="E66" s="37">
        <f t="shared" si="125"/>
        <v>363.44764884735633</v>
      </c>
      <c r="F66" s="37">
        <f t="shared" si="125"/>
        <v>347.66425470226187</v>
      </c>
      <c r="G66" s="37">
        <f t="shared" si="125"/>
        <v>343.94885696271882</v>
      </c>
      <c r="H66" s="37">
        <f t="shared" si="125"/>
        <v>351.67182258140713</v>
      </c>
      <c r="I66" s="38">
        <f t="shared" si="125"/>
        <v>371.25877949418754</v>
      </c>
      <c r="J66" s="5"/>
      <c r="K66" s="27">
        <f>$B$31</f>
        <v>4000000</v>
      </c>
      <c r="L66" s="36">
        <f t="shared" ref="L66:R66" si="126">IF(L49="na","na",L49+$M$13)</f>
        <v>158.36483285401476</v>
      </c>
      <c r="M66" s="37">
        <f t="shared" si="126"/>
        <v>163.71322005437398</v>
      </c>
      <c r="N66" s="37">
        <f t="shared" si="126"/>
        <v>147.88730720775902</v>
      </c>
      <c r="O66" s="37">
        <f t="shared" si="126"/>
        <v>148.5627171066244</v>
      </c>
      <c r="P66" s="37">
        <f t="shared" si="126"/>
        <v>149.84091711458325</v>
      </c>
      <c r="Q66" s="37">
        <f t="shared" si="126"/>
        <v>151.38749993633644</v>
      </c>
      <c r="R66" s="38">
        <f t="shared" si="126"/>
        <v>156.57912843735775</v>
      </c>
      <c r="S66" s="5"/>
      <c r="T66" s="27">
        <f>$B$31</f>
        <v>4000000</v>
      </c>
      <c r="U66" s="36">
        <f t="shared" ref="U66:AA66" si="127">IF(U49="na","na",U49+$M$13)</f>
        <v>108.00966406974574</v>
      </c>
      <c r="V66" s="37">
        <f t="shared" si="127"/>
        <v>110.22925629542709</v>
      </c>
      <c r="W66" s="37">
        <f t="shared" si="127"/>
        <v>112.52392045557799</v>
      </c>
      <c r="X66" s="37">
        <f t="shared" si="127"/>
        <v>117.08801953623768</v>
      </c>
      <c r="Y66" s="37">
        <f t="shared" si="127"/>
        <v>123.80182890577635</v>
      </c>
      <c r="Z66" s="37">
        <f t="shared" si="127"/>
        <v>141.13852921580281</v>
      </c>
      <c r="AA66" s="38">
        <f t="shared" si="127"/>
        <v>174.49816269350399</v>
      </c>
    </row>
    <row r="67" spans="1:27" ht="12" customHeight="1" x14ac:dyDescent="0.2">
      <c r="A67" s="5"/>
      <c r="B67" s="32">
        <f>$B$32</f>
        <v>5000000</v>
      </c>
      <c r="C67" s="39">
        <f t="shared" ref="C67:I67" si="128">IF(C50="na","na",C50+$M$13)</f>
        <v>514.60084094059414</v>
      </c>
      <c r="D67" s="40">
        <f t="shared" si="128"/>
        <v>411.67467828232907</v>
      </c>
      <c r="E67" s="40">
        <f t="shared" si="128"/>
        <v>378.79561498240395</v>
      </c>
      <c r="F67" s="40">
        <f t="shared" si="128"/>
        <v>355.95900074803956</v>
      </c>
      <c r="G67" s="40">
        <f t="shared" si="128"/>
        <v>347.85223370724623</v>
      </c>
      <c r="H67" s="40">
        <f t="shared" si="128"/>
        <v>351.37836855955078</v>
      </c>
      <c r="I67" s="41">
        <f t="shared" si="128"/>
        <v>368.36309060567567</v>
      </c>
      <c r="J67" s="5"/>
      <c r="K67" s="32">
        <f>$B$32</f>
        <v>5000000</v>
      </c>
      <c r="L67" s="39">
        <f t="shared" ref="L67:R67" si="129">IF(L50="na","na",L50+$M$13)</f>
        <v>157.28720396886149</v>
      </c>
      <c r="M67" s="40">
        <f t="shared" si="129"/>
        <v>162.29707474341961</v>
      </c>
      <c r="N67" s="40">
        <f t="shared" si="129"/>
        <v>148.85162732470798</v>
      </c>
      <c r="O67" s="40">
        <f t="shared" si="129"/>
        <v>148.93431995988774</v>
      </c>
      <c r="P67" s="40">
        <f t="shared" si="129"/>
        <v>149.80757775794623</v>
      </c>
      <c r="Q67" s="40">
        <f t="shared" si="129"/>
        <v>151.05215513890712</v>
      </c>
      <c r="R67" s="41">
        <f t="shared" si="129"/>
        <v>155.64437432378367</v>
      </c>
      <c r="S67" s="5"/>
      <c r="T67" s="32">
        <f>$B$32</f>
        <v>5000000</v>
      </c>
      <c r="U67" s="39">
        <f t="shared" ref="U67:AA67" si="130">IF(U50="na","na",U50+$M$13)</f>
        <v>108.27866834606701</v>
      </c>
      <c r="V67" s="40">
        <f t="shared" si="130"/>
        <v>110.29813523298019</v>
      </c>
      <c r="W67" s="40">
        <f t="shared" si="130"/>
        <v>112.42085634578741</v>
      </c>
      <c r="X67" s="40">
        <f t="shared" si="130"/>
        <v>116.6848760545859</v>
      </c>
      <c r="Y67" s="40">
        <f t="shared" si="130"/>
        <v>123.00899035450645</v>
      </c>
      <c r="Z67" s="40">
        <f t="shared" si="130"/>
        <v>139.47634059038967</v>
      </c>
      <c r="AA67" s="41">
        <f t="shared" si="130"/>
        <v>171.42238859532634</v>
      </c>
    </row>
    <row r="68" spans="1:27" ht="12" customHeight="1" x14ac:dyDescent="0.2">
      <c r="A68" s="5"/>
      <c r="B68" s="6"/>
      <c r="C68" s="6"/>
      <c r="D68" s="6"/>
      <c r="E68" s="6"/>
      <c r="F68" s="6"/>
      <c r="G68" s="6"/>
      <c r="H68" s="6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2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2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2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2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2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2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2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2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2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2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2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2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2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2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2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2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2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" customHeight="1" x14ac:dyDescent="0.2">
      <c r="A103" s="5"/>
      <c r="B103" s="5"/>
      <c r="C103" s="42"/>
      <c r="D103" s="43"/>
      <c r="E103" s="43"/>
      <c r="F103" s="5"/>
      <c r="G103" s="5"/>
      <c r="H103" s="5"/>
      <c r="I103" s="5"/>
      <c r="J103" s="42"/>
      <c r="K103" s="5"/>
      <c r="L103" s="5"/>
      <c r="M103" s="5"/>
      <c r="N103" s="5"/>
      <c r="O103" s="5"/>
      <c r="P103" s="5"/>
      <c r="Q103" s="5"/>
      <c r="R103" s="42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" customHeight="1" x14ac:dyDescent="0.2">
      <c r="A104" s="5"/>
      <c r="B104" s="5"/>
      <c r="C104" s="5"/>
      <c r="D104" s="5"/>
      <c r="E104" s="44"/>
      <c r="F104" s="44"/>
      <c r="G104" s="44"/>
      <c r="H104" s="44"/>
      <c r="I104" s="44"/>
      <c r="J104" s="5"/>
      <c r="K104" s="5"/>
      <c r="L104" s="44"/>
      <c r="M104" s="44"/>
      <c r="N104" s="44"/>
      <c r="O104" s="44"/>
      <c r="P104" s="44"/>
      <c r="Q104" s="44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2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2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2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2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2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2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2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2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2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2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2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2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2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2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2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2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2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2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2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2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2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2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2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2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2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2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2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2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2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2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2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2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2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2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2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2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2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2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2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2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2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2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2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2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2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2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2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2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2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2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2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2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2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2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2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2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2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2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2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2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2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2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2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2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2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2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2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2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2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2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2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2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2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2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2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2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2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2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2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2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2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2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2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2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2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2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2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2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2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2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2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2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2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2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2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2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2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2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2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2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2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2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2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2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2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2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2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2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2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2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2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2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2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2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2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2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2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2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2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2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2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2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2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2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2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2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2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2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2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2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2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2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2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2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2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2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2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2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2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2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2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2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2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2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2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2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2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2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2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2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2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2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2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2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2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2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2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2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2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2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2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2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2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2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2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2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2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2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2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2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2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2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2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2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2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2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2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2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2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2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2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2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2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2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2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2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2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2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2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2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2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2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2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2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2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2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2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2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2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2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2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2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2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2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2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2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2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2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2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2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2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2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2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2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2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2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2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2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2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2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2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2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2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2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2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2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2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2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2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2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2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2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2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2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2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2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2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2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2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2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2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2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2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2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2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2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2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2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2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2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2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2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2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2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2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2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2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2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2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2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2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2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2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2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2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2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2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2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2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2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2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2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2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2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2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2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2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2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2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2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2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2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2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2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2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2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2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2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2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2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2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2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2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2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2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2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2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2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2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2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2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2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2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2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2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2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2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2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2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2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2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2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2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2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2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2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2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2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2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2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2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2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2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2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2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2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2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2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2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2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2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2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2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2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2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2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2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2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2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2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2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2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2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2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2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2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2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2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2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2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2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2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2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2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2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2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2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2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2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2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2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2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2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2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2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2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2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2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2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2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2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2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2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2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2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2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2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2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2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2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2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2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2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2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2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2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2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2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2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2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2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2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2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2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2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2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2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2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2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2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2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2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2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2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2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2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2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2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2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2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2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2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2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2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2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2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2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2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2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2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2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2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2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2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2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2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2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2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2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2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2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2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2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2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2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2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2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2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2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2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2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2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2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2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2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2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2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2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2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2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2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2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2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2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2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2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2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2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2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2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2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2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2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2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2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2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2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2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2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2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2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2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2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2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2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2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2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2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2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2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2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2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2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2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2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2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2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2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2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2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2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2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2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2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2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2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2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2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2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2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2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2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2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2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2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2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2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2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2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2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2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2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2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2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2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2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2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2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2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2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2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2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2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2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2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2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2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2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2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2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2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2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2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2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2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2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2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2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2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2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2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2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2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2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2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2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2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2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2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2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2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2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2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2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2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2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2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2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2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2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2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2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2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2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2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2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2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2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2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2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2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2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2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2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2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2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2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2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2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2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2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2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2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2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2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2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2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2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2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2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2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2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2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2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2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2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2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2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2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2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2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2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2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2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2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2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2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2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2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2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2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2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2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2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2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2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2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2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2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2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2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2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2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2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2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2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2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2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2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2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2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2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2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2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2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2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2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2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2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2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2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2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2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2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2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2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2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2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2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2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2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2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2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2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2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2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2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2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2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2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2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2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2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2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2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2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2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2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2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2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2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2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2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2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2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2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2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2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2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2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2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2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2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2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2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2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2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2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2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2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2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2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2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2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2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2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2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2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2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2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2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2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2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2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2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2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2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2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2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2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2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2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2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2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2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2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2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2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2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2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2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2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2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2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2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2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2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2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2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2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2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2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2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2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2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2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2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2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2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2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2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2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2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2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2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2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2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2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2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2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2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2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2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2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2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2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2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2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2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2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2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2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2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2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2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2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2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2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2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2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2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2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2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2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2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2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2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2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2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2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2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2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2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2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2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2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2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2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2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2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2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2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2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2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2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2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2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2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2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2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2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2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2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2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2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2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2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2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2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2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2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2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2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2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2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2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2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2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2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2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2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2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2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2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2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2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2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2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2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2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2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2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2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2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2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2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2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2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2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2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2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2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2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2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2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2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2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2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2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2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2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2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2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2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2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2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2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2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2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2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2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2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2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2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2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2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2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2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2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2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2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2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2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2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2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2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2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2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2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2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2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54">
    <mergeCell ref="B8:C8"/>
    <mergeCell ref="B10:C10"/>
    <mergeCell ref="D10:E10"/>
    <mergeCell ref="F10:G10"/>
    <mergeCell ref="H10:I10"/>
    <mergeCell ref="D8:E8"/>
    <mergeCell ref="F8:G8"/>
    <mergeCell ref="H8:I8"/>
    <mergeCell ref="D9:E9"/>
    <mergeCell ref="F9:G9"/>
    <mergeCell ref="H9:I9"/>
    <mergeCell ref="H11:I11"/>
    <mergeCell ref="C52:I52"/>
    <mergeCell ref="L52:R52"/>
    <mergeCell ref="B13:C13"/>
    <mergeCell ref="C35:I35"/>
    <mergeCell ref="L35:R35"/>
    <mergeCell ref="U52:AA52"/>
    <mergeCell ref="D11:E11"/>
    <mergeCell ref="F11:G11"/>
    <mergeCell ref="D12:E12"/>
    <mergeCell ref="F12:G12"/>
    <mergeCell ref="H12:I12"/>
    <mergeCell ref="D13:E13"/>
    <mergeCell ref="F13:G13"/>
    <mergeCell ref="H13:I13"/>
    <mergeCell ref="K13:L13"/>
    <mergeCell ref="L15:R15"/>
    <mergeCell ref="U15:AA15"/>
    <mergeCell ref="C15:I15"/>
    <mergeCell ref="C17:I17"/>
    <mergeCell ref="L17:R17"/>
    <mergeCell ref="U17:AA17"/>
    <mergeCell ref="B2:N2"/>
    <mergeCell ref="D4:E4"/>
    <mergeCell ref="F4:G4"/>
    <mergeCell ref="H4:I4"/>
    <mergeCell ref="K4:M4"/>
    <mergeCell ref="U35:AA35"/>
    <mergeCell ref="B5:C5"/>
    <mergeCell ref="D5:E5"/>
    <mergeCell ref="D7:E7"/>
    <mergeCell ref="F7:G7"/>
    <mergeCell ref="K7:L7"/>
    <mergeCell ref="F5:G5"/>
    <mergeCell ref="H5:I5"/>
    <mergeCell ref="B6:C6"/>
    <mergeCell ref="D6:E6"/>
    <mergeCell ref="F6:G6"/>
    <mergeCell ref="H6:I6"/>
    <mergeCell ref="H7:I7"/>
    <mergeCell ref="B7:C7"/>
    <mergeCell ref="K10:L10"/>
    <mergeCell ref="B11:C11"/>
  </mergeCells>
  <conditionalFormatting sqref="C19:I32 C37:I50 C54:I67">
    <cfRule type="expression" dxfId="2" priority="3">
      <formula>$B19&lt;$D$13</formula>
    </cfRule>
  </conditionalFormatting>
  <conditionalFormatting sqref="C19:I32 L19:R32 U19:AA32">
    <cfRule type="colorScale" priority="4">
      <colorScale>
        <cfvo type="min"/>
        <cfvo type="percentile" val="50"/>
        <cfvo type="max"/>
        <color rgb="FFF8696B"/>
        <color rgb="FFD8D8D8"/>
        <color rgb="FF63BE7B"/>
      </colorScale>
    </cfRule>
  </conditionalFormatting>
  <conditionalFormatting sqref="C37:I50 L37:R50 U37:AA50">
    <cfRule type="colorScale" priority="5">
      <colorScale>
        <cfvo type="min"/>
        <cfvo type="percentile" val="50"/>
        <cfvo type="max"/>
        <color rgb="FF63BE7B"/>
        <color rgb="FFD8D8D8"/>
        <color rgb="FFF8696B"/>
      </colorScale>
    </cfRule>
  </conditionalFormatting>
  <conditionalFormatting sqref="C54:I67 L54:R67 U54:AA67">
    <cfRule type="colorScale" priority="6">
      <colorScale>
        <cfvo type="min"/>
        <cfvo type="percentile" val="50"/>
        <cfvo type="max"/>
        <color rgb="FF63BE7B"/>
        <color rgb="FFD8D8D8"/>
        <color rgb="FFF8696B"/>
      </colorScale>
    </cfRule>
  </conditionalFormatting>
  <conditionalFormatting sqref="L54:R67 L37:R50 L19:R32">
    <cfRule type="expression" dxfId="1" priority="7">
      <formula>$K19&lt;$F$13</formula>
    </cfRule>
  </conditionalFormatting>
  <conditionalFormatting sqref="U5:U10">
    <cfRule type="colorScale" priority="2">
      <colorScale>
        <cfvo type="min"/>
        <cfvo type="max"/>
        <color rgb="FFFCFCFF"/>
        <color rgb="FF63BE7B"/>
      </colorScale>
    </cfRule>
  </conditionalFormatting>
  <conditionalFormatting sqref="U54:AA67 U37:AA50 U19:AA32">
    <cfRule type="expression" dxfId="0" priority="8">
      <formula>$T19&lt;$H$13</formula>
    </cfRule>
  </conditionalFormatting>
  <conditionalFormatting sqref="AC5:AC11">
    <cfRule type="colorScale" priority="1">
      <colorScale>
        <cfvo type="min"/>
        <cfvo type="max"/>
        <color rgb="FFFCFCFF"/>
        <color rgb="FF63BE7B"/>
      </colorScale>
    </cfRule>
  </conditionalFormatting>
  <dataValidations disablePrompts="1" count="2">
    <dataValidation type="decimal" operator="greaterThanOrEqual" allowBlank="1" showErrorMessage="1" sqref="D11 F11 H11" xr:uid="{00000000-0002-0000-0100-000000000000}">
      <formula1>1</formula1>
    </dataValidation>
    <dataValidation type="decimal" operator="greaterThanOrEqual" allowBlank="1" showErrorMessage="1" sqref="M13 C18:I18 B19:B32" xr:uid="{00000000-0002-0000-0100-000001000000}">
      <formula1>0</formula1>
    </dataValidation>
  </dataValidation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showGridLines="0" workbookViewId="0">
      <selection activeCell="B5" sqref="B5"/>
    </sheetView>
  </sheetViews>
  <sheetFormatPr baseColWidth="10" defaultColWidth="14.5" defaultRowHeight="15" customHeight="1" x14ac:dyDescent="0.2"/>
  <cols>
    <col min="1" max="1" width="32.5" customWidth="1"/>
    <col min="2" max="3" width="17.1640625" customWidth="1"/>
    <col min="4" max="26" width="26.5" customWidth="1"/>
  </cols>
  <sheetData>
    <row r="1" spans="1:3" ht="14.25" customHeight="1" x14ac:dyDescent="0.2"/>
    <row r="2" spans="1:3" ht="14.25" customHeight="1" x14ac:dyDescent="0.2"/>
    <row r="3" spans="1:3" ht="14.25" customHeight="1" x14ac:dyDescent="0.2">
      <c r="A3" s="51"/>
      <c r="B3" s="52" t="s">
        <v>61</v>
      </c>
      <c r="C3" s="52" t="s">
        <v>62</v>
      </c>
    </row>
    <row r="4" spans="1:3" ht="21" customHeight="1" x14ac:dyDescent="0.2">
      <c r="A4" s="53" t="s">
        <v>63</v>
      </c>
      <c r="B4" s="54">
        <v>730</v>
      </c>
      <c r="C4" s="54"/>
    </row>
    <row r="5" spans="1:3" ht="21" customHeight="1" x14ac:dyDescent="0.2">
      <c r="A5" s="53" t="s">
        <v>64</v>
      </c>
      <c r="B5" s="54">
        <v>135</v>
      </c>
      <c r="C5" s="54"/>
    </row>
    <row r="6" spans="1:3" ht="21" customHeight="1" x14ac:dyDescent="0.2">
      <c r="A6" s="53" t="s">
        <v>65</v>
      </c>
      <c r="B6" s="54">
        <v>100</v>
      </c>
      <c r="C6" s="54"/>
    </row>
    <row r="7" spans="1:3" ht="21" customHeight="1" x14ac:dyDescent="0.2">
      <c r="A7" s="53" t="s">
        <v>66</v>
      </c>
      <c r="B7" s="54">
        <v>20</v>
      </c>
      <c r="C7" s="54"/>
    </row>
    <row r="8" spans="1:3" ht="21" customHeight="1" x14ac:dyDescent="0.2">
      <c r="A8" s="53" t="s">
        <v>67</v>
      </c>
      <c r="B8" s="54">
        <v>10</v>
      </c>
      <c r="C8" s="54"/>
    </row>
    <row r="9" spans="1:3" ht="21" customHeight="1" x14ac:dyDescent="0.2">
      <c r="A9" s="55" t="s">
        <v>68</v>
      </c>
      <c r="B9" s="55">
        <f>B4*0.2</f>
        <v>146</v>
      </c>
      <c r="C9" s="55"/>
    </row>
    <row r="10" spans="1:3" ht="21" customHeight="1" x14ac:dyDescent="0.2">
      <c r="A10" s="53" t="s">
        <v>69</v>
      </c>
      <c r="B10" s="54">
        <f>B4-SUM(B5:B9)</f>
        <v>319</v>
      </c>
      <c r="C10" s="54"/>
    </row>
    <row r="11" spans="1:3" ht="21" customHeight="1" x14ac:dyDescent="0.2">
      <c r="A11" s="55" t="s">
        <v>70</v>
      </c>
      <c r="B11" s="55">
        <f>B10*0.35</f>
        <v>111.64999999999999</v>
      </c>
      <c r="C11" s="55"/>
    </row>
    <row r="12" spans="1:3" ht="21" customHeight="1" x14ac:dyDescent="0.2">
      <c r="A12" s="53" t="s">
        <v>71</v>
      </c>
      <c r="B12" s="54">
        <f>B10-B11</f>
        <v>207.35000000000002</v>
      </c>
      <c r="C12" s="54"/>
    </row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4.5" customWidth="1"/>
    <col min="2" max="2" width="16" customWidth="1"/>
    <col min="3" max="26" width="8.5" customWidth="1"/>
  </cols>
  <sheetData>
    <row r="1" spans="1:26" ht="18" customHeight="1" x14ac:dyDescent="0.2">
      <c r="A1" s="45" t="s">
        <v>45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8.75" customHeight="1" x14ac:dyDescent="0.2">
      <c r="A2" s="47" t="s">
        <v>46</v>
      </c>
      <c r="B2" s="47" t="s">
        <v>30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8.75" customHeight="1" x14ac:dyDescent="0.2">
      <c r="A3" s="47" t="s">
        <v>47</v>
      </c>
      <c r="B3" s="48">
        <v>100000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8.75" customHeight="1" x14ac:dyDescent="0.2">
      <c r="A4" s="47" t="s">
        <v>48</v>
      </c>
      <c r="B4" s="48" t="s">
        <v>49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.75" customHeight="1" x14ac:dyDescent="0.2">
      <c r="A5" s="47" t="s">
        <v>50</v>
      </c>
      <c r="B5" s="47" t="s">
        <v>51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8.75" customHeight="1" x14ac:dyDescent="0.2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8.75" customHeight="1" x14ac:dyDescent="0.2">
      <c r="A7" s="45" t="s">
        <v>52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8.75" customHeight="1" x14ac:dyDescent="0.2">
      <c r="A8" s="47" t="s">
        <v>53</v>
      </c>
      <c r="B8" s="49" t="s">
        <v>54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8.75" customHeight="1" x14ac:dyDescent="0.2">
      <c r="A9" s="47" t="s">
        <v>55</v>
      </c>
      <c r="B9" s="47" t="s">
        <v>56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8.75" customHeight="1" x14ac:dyDescent="0.2">
      <c r="A10" s="47" t="s">
        <v>57</v>
      </c>
      <c r="B10" s="47" t="s">
        <v>58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8.75" customHeight="1" x14ac:dyDescent="0.2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8.75" customHeight="1" x14ac:dyDescent="0.2">
      <c r="A12" s="45" t="s">
        <v>59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8.75" customHeight="1" x14ac:dyDescent="0.2">
      <c r="A13" s="47" t="s">
        <v>60</v>
      </c>
      <c r="B13" s="50">
        <v>0.35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4.25" customHeight="1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4.25" customHeight="1" x14ac:dyDescent="0.2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4.25" customHeight="1" x14ac:dyDescent="0.2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4.25" customHeight="1" x14ac:dyDescent="0.2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4.25" customHeight="1" x14ac:dyDescent="0.2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4.25" customHeight="1" x14ac:dyDescent="0.2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25" customHeight="1" x14ac:dyDescent="0.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4.25" customHeight="1" x14ac:dyDescent="0.2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4.25" customHeight="1" x14ac:dyDescent="0.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4.25" customHeight="1" x14ac:dyDescent="0.2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4.25" customHeight="1" x14ac:dyDescent="0.2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4.25" customHeight="1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4.25" customHeight="1" x14ac:dyDescent="0.2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4.25" customHeight="1" x14ac:dyDescent="0.2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4.25" customHeight="1" x14ac:dyDescent="0.2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4.25" customHeight="1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4.25" customHeight="1" x14ac:dyDescent="0.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4.25" customHeight="1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4.25" customHeight="1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4.25" customHeight="1" x14ac:dyDescent="0.2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4.25" customHeight="1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4.25" customHeight="1" x14ac:dyDescent="0.2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4.25" customHeight="1" x14ac:dyDescent="0.2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4.25" customHeight="1" x14ac:dyDescent="0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4.25" customHeight="1" x14ac:dyDescent="0.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4.25" customHeight="1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4.25" customHeight="1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4.25" customHeight="1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4.25" customHeight="1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4.25" customHeight="1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4.25" customHeight="1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4.25" customHeight="1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4.25" customHeight="1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4.25" customHeight="1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4.25" customHeight="1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4.25" customHeight="1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4.25" customHeight="1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4.25" customHeight="1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4.25" customHeight="1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4.25" customHeight="1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4.25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4.2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4.25" customHeight="1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4.25" customHeight="1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4.25" customHeight="1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4.2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4.2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4.2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4.2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4.2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4.2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4.2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4.2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4.2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4.2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4.2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4.2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4.2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4.2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4.2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4.2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4.2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4.2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4.2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4.2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4.2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4.2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4.2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4.2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4.2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4.2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4.2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4.2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4.2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4.2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4.2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4.2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4.2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4.2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4.2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4.2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4.2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4.2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4.2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4.2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4.2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4.2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4.2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4.2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4.2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4.2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4.2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4.2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4.2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4.2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4.2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4.2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4.2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4.2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4.2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4.2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4.2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4.2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4.2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4.2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4.2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4.2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4.2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4.2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4.2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4.2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4.2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4.2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4.2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4.2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4.2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4.2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4.2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4.2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4.2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4.2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4.2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4.2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4.2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4.2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4.2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4.2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4.2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4.2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4.2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4.2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4.2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4.2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4.2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4.2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4.2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4.2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4.2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4.2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4.2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4.2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4.2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4.2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4.2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4.2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4.2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4.2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4.2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4.2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4.2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4.2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4.2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4.2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4.2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4.2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4.2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4.2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4.2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4.2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4.2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4.2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4.2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4.2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4.2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4.2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4.2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4.2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4.2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4.2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4.2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4.2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4.2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4.2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4.2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4.2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4.2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4.2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4.2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4.2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4.2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4.2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4.2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4.2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4.2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4.2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4.2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4.2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4.2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4.2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4.2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4.2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4.2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4.2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4.2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4.2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4.2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4.2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4.2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4.2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4.2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4.2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4.2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4.2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4.2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4.2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4.2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4.2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4.2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4.2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4.2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4.2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4.2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4.2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4.2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4.2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4.2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4.2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4.2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4.2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4.2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4.2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4.2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4.2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4.2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4.2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4.2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4.2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4.2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4.2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4.2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4.2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4.2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4.2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4.2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4.2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4.2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4.2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4.2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4.2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4.2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4.2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4.2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4.2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4.2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4.2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4.2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4.2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4.2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4.2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4.2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4.2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4.2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4.2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4.2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4.2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4.2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4.2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4.2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4.2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4.2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4.2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4.2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4.2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4.2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4.2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4.2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4.2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4.2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4.2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4.2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4.2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4.2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4.2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4.2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4.2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4.2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4.2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4.2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4.2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4.2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4.2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4.2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4.2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4.2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4.2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4.2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4.2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4.2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4.2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4.2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4.2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4.2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4.2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4.2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4.2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4.2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4.2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4.2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4.2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4.2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4.2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4.2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4.2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4.2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4.2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4.2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4.2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4.2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4.2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4.2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4.2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4.2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4.2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4.2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4.2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4.2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4.2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4.2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4.2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4.2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4.2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4.2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4.2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4.2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4.2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4.2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4.2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4.2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4.2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4.2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4.2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4.2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4.2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4.2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4.2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4.2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4.2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4.2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4.2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4.2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4.2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4.2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4.2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4.2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4.2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4.2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4.2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4.2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4.2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4.2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4.2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4.2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4.2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4.2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4.2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4.2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4.2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4.2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4.2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4.2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4.2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4.2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4.2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4.2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4.2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4.2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4.2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4.2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4.2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4.2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4.2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4.2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4.2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4.2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4.2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4.2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4.2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4.2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4.2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4.2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4.2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4.2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4.2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4.2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4.2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4.2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4.2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4.2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4.2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4.2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4.2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4.2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4.2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4.2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4.2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4.2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4.2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4.2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4.2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4.2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4.2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4.2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4.2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4.2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4.2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4.2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4.2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4.2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4.2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4.2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4.2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4.2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4.2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4.2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4.2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4.2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4.2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4.2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4.2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4.2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4.2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4.2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4.2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4.2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4.2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4.2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4.2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4.2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4.2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4.2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4.2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4.2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4.2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4.2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4.2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4.2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4.2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4.2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4.2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4.2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4.2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4.2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4.2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4.2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4.2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4.2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4.2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4.2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4.2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4.2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4.2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4.2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4.2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4.2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4.2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4.2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4.2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4.2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4.2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4.2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4.2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4.2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4.2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4.2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4.2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4.2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4.2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4.2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4.2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4.2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4.2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4.2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4.2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4.2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4.2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4.2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4.2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4.2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4.2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4.2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4.2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4.2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4.2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4.2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4.2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4.2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4.2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4.2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4.2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4.2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4.2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4.2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4.2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4.2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4.2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4.2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4.2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4.2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4.2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4.2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4.2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4.2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4.2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4.2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4.2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4.2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4.2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4.2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4.2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4.2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4.2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4.2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4.2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4.2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4.2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4.2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4.2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4.2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4.2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4.2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4.2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4.2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4.2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4.2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4.2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4.2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4.2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4.2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4.2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4.2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4.2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4.2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4.2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4.2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4.2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4.2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4.2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4.2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4.2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4.2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4.2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4.2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4.2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4.2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4.2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4.2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4.2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4.2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4.2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4.2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4.2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4.2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4.2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4.2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4.2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4.2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4.2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4.2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4.2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4.2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4.2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4.2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4.2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4.2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4.2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4.2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4.2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4.2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4.2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4.2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4.2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4.2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4.2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4.2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4.2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4.2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4.2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4.2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4.2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4.2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4.2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4.2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4.2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4.2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4.2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4.2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4.2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4.2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4.2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4.2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4.2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4.2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4.2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4.2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4.2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4.2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4.2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4.2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4.2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4.2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4.2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4.2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4.2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4.2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4.2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4.2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4.2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4.2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4.2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4.2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4.2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4.2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4.2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4.2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4.2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4.2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4.2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4.2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4.2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4.2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4.2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4.2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4.2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4.2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4.2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4.2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4.2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4.2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4.2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4.2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4.2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4.2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4.2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4.2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4.2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4.2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4.2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4.2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4.2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4.2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4.2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4.2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4.2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4.2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4.2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4.2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4.2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4.2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4.2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4.2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4.2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4.2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4.2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4.2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4.2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4.2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4.2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4.2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4.2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4.2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4.2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4.2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4.2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4.2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4.2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4.2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4.2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4.2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4.2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4.2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4.2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4.2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4.2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4.2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4.2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4.2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4.2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4.2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4.2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4.2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4.2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4.2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4.2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4.2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4.2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4.2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4.2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4.2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4.2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4.2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4.2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4.2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4.2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4.2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4.2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4.2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4.2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4.2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4.2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4.2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4.2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4.2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4.2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4.2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4.2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4.2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4.2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4.2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4.2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4.2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4.2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4.2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4.2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4.2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4.2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4.2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4.2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4.2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4.2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4.2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4.2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4.2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4.2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4.2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4.2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4.2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4.2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4.2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4.2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4.2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4.2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4.2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4.2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4.2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4.2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4.2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4.2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4.2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4.2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4.2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4.2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4.2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4.2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4.2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4.2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4.2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4.2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4.2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4.2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4.2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4.2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4.2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4.2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4.2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4.2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4.2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4.2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4.2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4.2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4.2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4.2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4.2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4.2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4.2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4.2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4.2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4.2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4.2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4.2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4.2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4.2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4.2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4.2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4.2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4.2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4.2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4.2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4.2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4.2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4.2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4.2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4.2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4.2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4.2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4.2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4.2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4.2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4.2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4.2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4.2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4.2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4.2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4.2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4.2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4.2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4.2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4.2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4.2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4.2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4.2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4.2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4.2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4.2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4.2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4.2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4.2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4.2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4.2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4.2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4.2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4.2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4.2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4.2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4.2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4.2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4.2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4.2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4.2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4.2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4.2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4.2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4.2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4.2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4.2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4.2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4.2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4.2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4.2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4.2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4.2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4.2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4.2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4.2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4.2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4.2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4.2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4.2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4.2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4.2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4.2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4.2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4.2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4.2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4.2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4.2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4.2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4.2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4.2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4.2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4.2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4.2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4.2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4.2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4.2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4.2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4.2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4.2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4.2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4.2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4.2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4.2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4.2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4.2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4.2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4.2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4.2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4.2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4.2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4.2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4.2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4.2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4.2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4.2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4.2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4.2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4.2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4.2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4.2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4.2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4.2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4.2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4.2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4.2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4.2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4.2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4.2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4.2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4.2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4.2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4.2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4.2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4.2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4.2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4.2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4.2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4.2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4.2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4.2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4.2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4.2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4.2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4.2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4.2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4.2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4.2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4.2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4.2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4.2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4.2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4.2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4.2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4.2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4.2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4.2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4.2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4.2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4.2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4.2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4.2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4.2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4.2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4.2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4.2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4.2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4.2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4.2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4.2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4.2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4.2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4.2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4.2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4.2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4.2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4.2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4.2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4.2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4.2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4.2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4.2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4.2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4.2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4.2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4.2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4.2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4.2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4.2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4.2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4.2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4.2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4.2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4.2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4.2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4.2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4.2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4.2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4.2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4.2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4.2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4.2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4.2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4.2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4.2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4.2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4.2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4.2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4.2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4.2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4.2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4.2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4.2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4.2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4.2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4.2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4.2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4.2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4.2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4.2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4.2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4.2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4.2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4.2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4.2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4.2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4.2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4.2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4.2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4.2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Instructions</vt:lpstr>
      <vt:lpstr>C-D Model</vt:lpstr>
      <vt:lpstr>Contribution Margin Table</vt:lpstr>
      <vt:lpstr>Initial Parameters</vt:lpstr>
      <vt:lpstr>'C-D Model'!solver_lhs1</vt:lpstr>
      <vt:lpstr>'C-D Model'!solver_lhs2</vt:lpstr>
      <vt:lpstr>'C-D Model'!solver_lhs5</vt:lpstr>
      <vt:lpstr>'C-D Model'!solver_lhs6</vt:lpstr>
      <vt:lpstr>'C-D Model'!solver_lhs7</vt:lpstr>
      <vt:lpstr>'C-D Model'!solver_lhs8</vt:lpstr>
      <vt:lpstr>'C-D Model'!solver_rhs5</vt:lpstr>
      <vt:lpstr>'C-D Model'!solver_rhs6</vt:lpstr>
      <vt:lpstr>'C-D Model'!solver_rhs7</vt:lpstr>
      <vt:lpstr>'C-D Model'!solver_rhs8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</dc:creator>
  <cp:lastModifiedBy>Derrick Teo</cp:lastModifiedBy>
  <dcterms:created xsi:type="dcterms:W3CDTF">2014-10-26T01:57:07Z</dcterms:created>
  <dcterms:modified xsi:type="dcterms:W3CDTF">2026-04-19T04:36:23Z</dcterms:modified>
</cp:coreProperties>
</file>